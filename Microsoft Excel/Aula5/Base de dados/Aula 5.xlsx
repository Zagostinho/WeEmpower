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gostinho Zeinadine\Downloads\"/>
    </mc:Choice>
  </mc:AlternateContent>
  <xr:revisionPtr revIDLastSave="0" documentId="13_ncr:1_{B05819CE-2644-464F-B79D-8A66C1C38024}" xr6:coauthVersionLast="47" xr6:coauthVersionMax="47" xr10:uidLastSave="{00000000-0000-0000-0000-000000000000}"/>
  <bookViews>
    <workbookView xWindow="1132" yWindow="4687" windowWidth="14400" windowHeight="7283" tabRatio="500" xr2:uid="{00000000-000D-0000-FFFF-FFFF00000000}"/>
  </bookViews>
  <sheets>
    <sheet name="Dados_Principais" sheetId="1" r:id="rId1"/>
    <sheet name="Barras_Coluna" sheetId="2" r:id="rId2"/>
    <sheet name="Pizza_Rosca" sheetId="3" r:id="rId3"/>
    <sheet name="Linha_Area" sheetId="4" r:id="rId4"/>
    <sheet name="Dispersao_Bolhas" sheetId="5" r:id="rId5"/>
    <sheet name="Histograma" sheetId="11" r:id="rId6"/>
    <sheet name="BoxPlot" sheetId="12" r:id="rId7"/>
  </sheets>
  <definedNames>
    <definedName name="_xlnm._FilterDatabase" localSheetId="0" hidden="1">Dados_Principais!$A$1:$R$1501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61" i="5" l="1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P1501" i="1"/>
  <c r="G1501" i="1"/>
  <c r="P1500" i="1"/>
  <c r="G1500" i="1"/>
  <c r="P1499" i="1"/>
  <c r="G1499" i="1"/>
  <c r="P1498" i="1"/>
  <c r="G1498" i="1"/>
  <c r="P1497" i="1"/>
  <c r="G1497" i="1"/>
  <c r="P1496" i="1"/>
  <c r="G1496" i="1"/>
  <c r="P1495" i="1"/>
  <c r="G1495" i="1"/>
  <c r="P1494" i="1"/>
  <c r="G1494" i="1"/>
  <c r="P1493" i="1"/>
  <c r="G1493" i="1"/>
  <c r="P1492" i="1"/>
  <c r="G1492" i="1"/>
  <c r="P1491" i="1"/>
  <c r="G1491" i="1"/>
  <c r="P1490" i="1"/>
  <c r="G1490" i="1"/>
  <c r="P1489" i="1"/>
  <c r="G1489" i="1"/>
  <c r="P1488" i="1"/>
  <c r="G1488" i="1"/>
  <c r="P1487" i="1"/>
  <c r="G1487" i="1"/>
  <c r="P1486" i="1"/>
  <c r="G1486" i="1"/>
  <c r="P1485" i="1"/>
  <c r="G1485" i="1"/>
  <c r="P1484" i="1"/>
  <c r="G1484" i="1"/>
  <c r="P1483" i="1"/>
  <c r="G1483" i="1"/>
  <c r="P1482" i="1"/>
  <c r="G1482" i="1"/>
  <c r="P1481" i="1"/>
  <c r="G1481" i="1"/>
  <c r="P1480" i="1"/>
  <c r="G1480" i="1"/>
  <c r="P1479" i="1"/>
  <c r="G1479" i="1"/>
  <c r="P1478" i="1"/>
  <c r="G1478" i="1"/>
  <c r="P1477" i="1"/>
  <c r="G1477" i="1"/>
  <c r="P1476" i="1"/>
  <c r="G1476" i="1"/>
  <c r="P1475" i="1"/>
  <c r="G1475" i="1"/>
  <c r="P1474" i="1"/>
  <c r="G1474" i="1"/>
  <c r="P1473" i="1"/>
  <c r="G1473" i="1"/>
  <c r="P1472" i="1"/>
  <c r="G1472" i="1"/>
  <c r="P1471" i="1"/>
  <c r="G1471" i="1"/>
  <c r="P1470" i="1"/>
  <c r="G1470" i="1"/>
  <c r="P1469" i="1"/>
  <c r="G1469" i="1"/>
  <c r="P1468" i="1"/>
  <c r="G1468" i="1"/>
  <c r="P1467" i="1"/>
  <c r="G1467" i="1"/>
  <c r="P1466" i="1"/>
  <c r="G1466" i="1"/>
  <c r="P1465" i="1"/>
  <c r="G1465" i="1"/>
  <c r="P1464" i="1"/>
  <c r="G1464" i="1"/>
  <c r="P1463" i="1"/>
  <c r="G1463" i="1"/>
  <c r="P1462" i="1"/>
  <c r="G1462" i="1"/>
  <c r="P1461" i="1"/>
  <c r="G1461" i="1"/>
  <c r="P1460" i="1"/>
  <c r="G1460" i="1"/>
  <c r="P1459" i="1"/>
  <c r="G1459" i="1"/>
  <c r="P1458" i="1"/>
  <c r="G1458" i="1"/>
  <c r="P1457" i="1"/>
  <c r="G1457" i="1"/>
  <c r="P1456" i="1"/>
  <c r="G1456" i="1"/>
  <c r="P1455" i="1"/>
  <c r="G1455" i="1"/>
  <c r="P1454" i="1"/>
  <c r="G1454" i="1"/>
  <c r="P1453" i="1"/>
  <c r="G1453" i="1"/>
  <c r="P1452" i="1"/>
  <c r="G1452" i="1"/>
  <c r="P1451" i="1"/>
  <c r="G1451" i="1"/>
  <c r="P1450" i="1"/>
  <c r="G1450" i="1"/>
  <c r="P1449" i="1"/>
  <c r="G1449" i="1"/>
  <c r="P1448" i="1"/>
  <c r="G1448" i="1"/>
  <c r="P1447" i="1"/>
  <c r="G1447" i="1"/>
  <c r="P1446" i="1"/>
  <c r="G1446" i="1"/>
  <c r="P1445" i="1"/>
  <c r="G1445" i="1"/>
  <c r="P1444" i="1"/>
  <c r="G1444" i="1"/>
  <c r="P1443" i="1"/>
  <c r="G1443" i="1"/>
  <c r="P1442" i="1"/>
  <c r="G1442" i="1"/>
  <c r="P1441" i="1"/>
  <c r="G1441" i="1"/>
  <c r="P1440" i="1"/>
  <c r="G1440" i="1"/>
  <c r="P1439" i="1"/>
  <c r="G1439" i="1"/>
  <c r="P1438" i="1"/>
  <c r="G1438" i="1"/>
  <c r="P1437" i="1"/>
  <c r="G1437" i="1"/>
  <c r="P1436" i="1"/>
  <c r="G1436" i="1"/>
  <c r="P1435" i="1"/>
  <c r="G1435" i="1"/>
  <c r="P1434" i="1"/>
  <c r="G1434" i="1"/>
  <c r="P1433" i="1"/>
  <c r="G1433" i="1"/>
  <c r="P1432" i="1"/>
  <c r="G1432" i="1"/>
  <c r="P1431" i="1"/>
  <c r="G1431" i="1"/>
  <c r="P1430" i="1"/>
  <c r="G1430" i="1"/>
  <c r="P1429" i="1"/>
  <c r="G1429" i="1"/>
  <c r="P1428" i="1"/>
  <c r="G1428" i="1"/>
  <c r="P1427" i="1"/>
  <c r="G1427" i="1"/>
  <c r="P1426" i="1"/>
  <c r="G1426" i="1"/>
  <c r="P1425" i="1"/>
  <c r="G1425" i="1"/>
  <c r="P1424" i="1"/>
  <c r="G1424" i="1"/>
  <c r="P1423" i="1"/>
  <c r="G1423" i="1"/>
  <c r="P1422" i="1"/>
  <c r="G1422" i="1"/>
  <c r="P1421" i="1"/>
  <c r="G1421" i="1"/>
  <c r="P1420" i="1"/>
  <c r="G1420" i="1"/>
  <c r="P1419" i="1"/>
  <c r="G1419" i="1"/>
  <c r="P1418" i="1"/>
  <c r="G1418" i="1"/>
  <c r="P1417" i="1"/>
  <c r="G1417" i="1"/>
  <c r="P1416" i="1"/>
  <c r="G1416" i="1"/>
  <c r="P1415" i="1"/>
  <c r="G1415" i="1"/>
  <c r="P1414" i="1"/>
  <c r="G1414" i="1"/>
  <c r="P1413" i="1"/>
  <c r="G1413" i="1"/>
  <c r="P1412" i="1"/>
  <c r="G1412" i="1"/>
  <c r="P1411" i="1"/>
  <c r="G1411" i="1"/>
  <c r="P1410" i="1"/>
  <c r="G1410" i="1"/>
  <c r="P1409" i="1"/>
  <c r="G1409" i="1"/>
  <c r="P1408" i="1"/>
  <c r="G1408" i="1"/>
  <c r="P1407" i="1"/>
  <c r="G1407" i="1"/>
  <c r="P1406" i="1"/>
  <c r="G1406" i="1"/>
  <c r="P1405" i="1"/>
  <c r="G1405" i="1"/>
  <c r="P1404" i="1"/>
  <c r="G1404" i="1"/>
  <c r="P1403" i="1"/>
  <c r="G1403" i="1"/>
  <c r="P1402" i="1"/>
  <c r="G1402" i="1"/>
  <c r="P1401" i="1"/>
  <c r="G1401" i="1"/>
  <c r="P1400" i="1"/>
  <c r="G1400" i="1"/>
  <c r="P1399" i="1"/>
  <c r="G1399" i="1"/>
  <c r="P1398" i="1"/>
  <c r="G1398" i="1"/>
  <c r="P1397" i="1"/>
  <c r="G1397" i="1"/>
  <c r="P1396" i="1"/>
  <c r="G1396" i="1"/>
  <c r="P1395" i="1"/>
  <c r="G1395" i="1"/>
  <c r="P1394" i="1"/>
  <c r="G1394" i="1"/>
  <c r="P1393" i="1"/>
  <c r="G1393" i="1"/>
  <c r="P1392" i="1"/>
  <c r="G1392" i="1"/>
  <c r="P1391" i="1"/>
  <c r="G1391" i="1"/>
  <c r="P1390" i="1"/>
  <c r="G1390" i="1"/>
  <c r="P1389" i="1"/>
  <c r="G1389" i="1"/>
  <c r="P1388" i="1"/>
  <c r="G1388" i="1"/>
  <c r="P1387" i="1"/>
  <c r="G1387" i="1"/>
  <c r="P1386" i="1"/>
  <c r="G1386" i="1"/>
  <c r="P1385" i="1"/>
  <c r="G1385" i="1"/>
  <c r="P1384" i="1"/>
  <c r="G1384" i="1"/>
  <c r="P1383" i="1"/>
  <c r="G1383" i="1"/>
  <c r="P1382" i="1"/>
  <c r="G1382" i="1"/>
  <c r="P1381" i="1"/>
  <c r="G1381" i="1"/>
  <c r="P1380" i="1"/>
  <c r="G1380" i="1"/>
  <c r="P1379" i="1"/>
  <c r="G1379" i="1"/>
  <c r="P1378" i="1"/>
  <c r="G1378" i="1"/>
  <c r="P1377" i="1"/>
  <c r="G1377" i="1"/>
  <c r="P1376" i="1"/>
  <c r="G1376" i="1"/>
  <c r="P1375" i="1"/>
  <c r="G1375" i="1"/>
  <c r="P1374" i="1"/>
  <c r="G1374" i="1"/>
  <c r="P1373" i="1"/>
  <c r="G1373" i="1"/>
  <c r="P1372" i="1"/>
  <c r="G1372" i="1"/>
  <c r="P1371" i="1"/>
  <c r="G1371" i="1"/>
  <c r="P1370" i="1"/>
  <c r="G1370" i="1"/>
  <c r="P1369" i="1"/>
  <c r="G1369" i="1"/>
  <c r="P1368" i="1"/>
  <c r="G1368" i="1"/>
  <c r="P1367" i="1"/>
  <c r="G1367" i="1"/>
  <c r="P1366" i="1"/>
  <c r="G1366" i="1"/>
  <c r="P1365" i="1"/>
  <c r="G1365" i="1"/>
  <c r="P1364" i="1"/>
  <c r="G1364" i="1"/>
  <c r="P1363" i="1"/>
  <c r="G1363" i="1"/>
  <c r="P1362" i="1"/>
  <c r="G1362" i="1"/>
  <c r="P1361" i="1"/>
  <c r="G1361" i="1"/>
  <c r="P1360" i="1"/>
  <c r="G1360" i="1"/>
  <c r="P1359" i="1"/>
  <c r="G1359" i="1"/>
  <c r="P1358" i="1"/>
  <c r="G1358" i="1"/>
  <c r="P1357" i="1"/>
  <c r="G1357" i="1"/>
  <c r="P1356" i="1"/>
  <c r="G1356" i="1"/>
  <c r="P1355" i="1"/>
  <c r="G1355" i="1"/>
  <c r="P1354" i="1"/>
  <c r="G1354" i="1"/>
  <c r="P1353" i="1"/>
  <c r="G1353" i="1"/>
  <c r="P1352" i="1"/>
  <c r="G1352" i="1"/>
  <c r="P1351" i="1"/>
  <c r="G1351" i="1"/>
  <c r="P1350" i="1"/>
  <c r="G1350" i="1"/>
  <c r="P1349" i="1"/>
  <c r="G1349" i="1"/>
  <c r="P1348" i="1"/>
  <c r="G1348" i="1"/>
  <c r="P1347" i="1"/>
  <c r="G1347" i="1"/>
  <c r="P1346" i="1"/>
  <c r="G1346" i="1"/>
  <c r="P1345" i="1"/>
  <c r="G1345" i="1"/>
  <c r="P1344" i="1"/>
  <c r="G1344" i="1"/>
  <c r="P1343" i="1"/>
  <c r="G1343" i="1"/>
  <c r="P1342" i="1"/>
  <c r="G1342" i="1"/>
  <c r="P1341" i="1"/>
  <c r="G1341" i="1"/>
  <c r="P1340" i="1"/>
  <c r="G1340" i="1"/>
  <c r="P1339" i="1"/>
  <c r="G1339" i="1"/>
  <c r="P1338" i="1"/>
  <c r="G1338" i="1"/>
  <c r="P1337" i="1"/>
  <c r="G1337" i="1"/>
  <c r="P1336" i="1"/>
  <c r="G1336" i="1"/>
  <c r="P1335" i="1"/>
  <c r="G1335" i="1"/>
  <c r="P1334" i="1"/>
  <c r="G1334" i="1"/>
  <c r="P1333" i="1"/>
  <c r="G1333" i="1"/>
  <c r="P1332" i="1"/>
  <c r="G1332" i="1"/>
  <c r="P1331" i="1"/>
  <c r="G1331" i="1"/>
  <c r="P1330" i="1"/>
  <c r="G1330" i="1"/>
  <c r="P1329" i="1"/>
  <c r="G1329" i="1"/>
  <c r="P1328" i="1"/>
  <c r="G1328" i="1"/>
  <c r="P1327" i="1"/>
  <c r="G1327" i="1"/>
  <c r="P1326" i="1"/>
  <c r="G1326" i="1"/>
  <c r="P1325" i="1"/>
  <c r="G1325" i="1"/>
  <c r="P1324" i="1"/>
  <c r="G1324" i="1"/>
  <c r="P1323" i="1"/>
  <c r="G1323" i="1"/>
  <c r="P1322" i="1"/>
  <c r="G1322" i="1"/>
  <c r="P1321" i="1"/>
  <c r="G1321" i="1"/>
  <c r="P1320" i="1"/>
  <c r="G1320" i="1"/>
  <c r="P1319" i="1"/>
  <c r="G1319" i="1"/>
  <c r="P1318" i="1"/>
  <c r="G1318" i="1"/>
  <c r="P1317" i="1"/>
  <c r="G1317" i="1"/>
  <c r="P1316" i="1"/>
  <c r="G1316" i="1"/>
  <c r="P1315" i="1"/>
  <c r="G1315" i="1"/>
  <c r="P1314" i="1"/>
  <c r="G1314" i="1"/>
  <c r="P1313" i="1"/>
  <c r="G1313" i="1"/>
  <c r="P1312" i="1"/>
  <c r="G1312" i="1"/>
  <c r="P1311" i="1"/>
  <c r="G1311" i="1"/>
  <c r="P1310" i="1"/>
  <c r="G1310" i="1"/>
  <c r="P1309" i="1"/>
  <c r="G1309" i="1"/>
  <c r="P1308" i="1"/>
  <c r="G1308" i="1"/>
  <c r="P1307" i="1"/>
  <c r="G1307" i="1"/>
  <c r="P1306" i="1"/>
  <c r="G1306" i="1"/>
  <c r="P1305" i="1"/>
  <c r="G1305" i="1"/>
  <c r="P1304" i="1"/>
  <c r="G1304" i="1"/>
  <c r="P1303" i="1"/>
  <c r="G1303" i="1"/>
  <c r="P1302" i="1"/>
  <c r="G1302" i="1"/>
  <c r="P1301" i="1"/>
  <c r="G1301" i="1"/>
  <c r="P1300" i="1"/>
  <c r="G1300" i="1"/>
  <c r="P1299" i="1"/>
  <c r="G1299" i="1"/>
  <c r="P1298" i="1"/>
  <c r="G1298" i="1"/>
  <c r="P1297" i="1"/>
  <c r="G1297" i="1"/>
  <c r="P1296" i="1"/>
  <c r="G1296" i="1"/>
  <c r="P1295" i="1"/>
  <c r="G1295" i="1"/>
  <c r="P1294" i="1"/>
  <c r="G1294" i="1"/>
  <c r="P1293" i="1"/>
  <c r="G1293" i="1"/>
  <c r="P1292" i="1"/>
  <c r="G1292" i="1"/>
  <c r="P1291" i="1"/>
  <c r="G1291" i="1"/>
  <c r="P1290" i="1"/>
  <c r="G1290" i="1"/>
  <c r="P1289" i="1"/>
  <c r="G1289" i="1"/>
  <c r="P1288" i="1"/>
  <c r="G1288" i="1"/>
  <c r="P1287" i="1"/>
  <c r="G1287" i="1"/>
  <c r="P1286" i="1"/>
  <c r="G1286" i="1"/>
  <c r="P1285" i="1"/>
  <c r="G1285" i="1"/>
  <c r="P1284" i="1"/>
  <c r="G1284" i="1"/>
  <c r="P1283" i="1"/>
  <c r="G1283" i="1"/>
  <c r="P1282" i="1"/>
  <c r="G1282" i="1"/>
  <c r="P1281" i="1"/>
  <c r="G1281" i="1"/>
  <c r="P1280" i="1"/>
  <c r="G1280" i="1"/>
  <c r="P1279" i="1"/>
  <c r="G1279" i="1"/>
  <c r="P1278" i="1"/>
  <c r="G1278" i="1"/>
  <c r="P1277" i="1"/>
  <c r="G1277" i="1"/>
  <c r="P1276" i="1"/>
  <c r="G1276" i="1"/>
  <c r="P1275" i="1"/>
  <c r="G1275" i="1"/>
  <c r="P1274" i="1"/>
  <c r="G1274" i="1"/>
  <c r="P1273" i="1"/>
  <c r="G1273" i="1"/>
  <c r="P1272" i="1"/>
  <c r="G1272" i="1"/>
  <c r="P1271" i="1"/>
  <c r="G1271" i="1"/>
  <c r="P1270" i="1"/>
  <c r="G1270" i="1"/>
  <c r="P1269" i="1"/>
  <c r="G1269" i="1"/>
  <c r="P1268" i="1"/>
  <c r="G1268" i="1"/>
  <c r="P1267" i="1"/>
  <c r="G1267" i="1"/>
  <c r="P1266" i="1"/>
  <c r="G1266" i="1"/>
  <c r="P1265" i="1"/>
  <c r="G1265" i="1"/>
  <c r="P1264" i="1"/>
  <c r="G1264" i="1"/>
  <c r="P1263" i="1"/>
  <c r="G1263" i="1"/>
  <c r="P1262" i="1"/>
  <c r="G1262" i="1"/>
  <c r="P1261" i="1"/>
  <c r="G1261" i="1"/>
  <c r="P1260" i="1"/>
  <c r="G1260" i="1"/>
  <c r="P1259" i="1"/>
  <c r="G1259" i="1"/>
  <c r="P1258" i="1"/>
  <c r="G1258" i="1"/>
  <c r="P1257" i="1"/>
  <c r="G1257" i="1"/>
  <c r="P1256" i="1"/>
  <c r="G1256" i="1"/>
  <c r="P1255" i="1"/>
  <c r="G1255" i="1"/>
  <c r="P1254" i="1"/>
  <c r="G1254" i="1"/>
  <c r="P1253" i="1"/>
  <c r="G1253" i="1"/>
  <c r="P1252" i="1"/>
  <c r="G1252" i="1"/>
  <c r="P1251" i="1"/>
  <c r="G1251" i="1"/>
  <c r="P1250" i="1"/>
  <c r="G1250" i="1"/>
  <c r="P1249" i="1"/>
  <c r="G1249" i="1"/>
  <c r="P1248" i="1"/>
  <c r="G1248" i="1"/>
  <c r="P1247" i="1"/>
  <c r="G1247" i="1"/>
  <c r="P1246" i="1"/>
  <c r="G1246" i="1"/>
  <c r="P1245" i="1"/>
  <c r="G1245" i="1"/>
  <c r="P1244" i="1"/>
  <c r="G1244" i="1"/>
  <c r="P1243" i="1"/>
  <c r="G1243" i="1"/>
  <c r="P1242" i="1"/>
  <c r="G1242" i="1"/>
  <c r="P1241" i="1"/>
  <c r="G1241" i="1"/>
  <c r="P1240" i="1"/>
  <c r="G1240" i="1"/>
  <c r="P1239" i="1"/>
  <c r="G1239" i="1"/>
  <c r="P1238" i="1"/>
  <c r="G1238" i="1"/>
  <c r="P1237" i="1"/>
  <c r="G1237" i="1"/>
  <c r="P1236" i="1"/>
  <c r="G1236" i="1"/>
  <c r="P1235" i="1"/>
  <c r="G1235" i="1"/>
  <c r="P1234" i="1"/>
  <c r="G1234" i="1"/>
  <c r="P1233" i="1"/>
  <c r="G1233" i="1"/>
  <c r="P1232" i="1"/>
  <c r="G1232" i="1"/>
  <c r="P1231" i="1"/>
  <c r="G1231" i="1"/>
  <c r="P1230" i="1"/>
  <c r="G1230" i="1"/>
  <c r="P1229" i="1"/>
  <c r="G1229" i="1"/>
  <c r="P1228" i="1"/>
  <c r="G1228" i="1"/>
  <c r="P1227" i="1"/>
  <c r="G1227" i="1"/>
  <c r="P1226" i="1"/>
  <c r="G1226" i="1"/>
  <c r="P1225" i="1"/>
  <c r="G1225" i="1"/>
  <c r="P1224" i="1"/>
  <c r="G1224" i="1"/>
  <c r="P1223" i="1"/>
  <c r="G1223" i="1"/>
  <c r="P1222" i="1"/>
  <c r="G1222" i="1"/>
  <c r="P1221" i="1"/>
  <c r="G1221" i="1"/>
  <c r="P1220" i="1"/>
  <c r="G1220" i="1"/>
  <c r="P1219" i="1"/>
  <c r="G1219" i="1"/>
  <c r="P1218" i="1"/>
  <c r="G1218" i="1"/>
  <c r="P1217" i="1"/>
  <c r="G1217" i="1"/>
  <c r="P1216" i="1"/>
  <c r="G1216" i="1"/>
  <c r="P1215" i="1"/>
  <c r="G1215" i="1"/>
  <c r="P1214" i="1"/>
  <c r="G1214" i="1"/>
  <c r="P1213" i="1"/>
  <c r="G1213" i="1"/>
  <c r="P1212" i="1"/>
  <c r="G1212" i="1"/>
  <c r="P1211" i="1"/>
  <c r="G1211" i="1"/>
  <c r="P1210" i="1"/>
  <c r="G1210" i="1"/>
  <c r="P1209" i="1"/>
  <c r="G1209" i="1"/>
  <c r="P1208" i="1"/>
  <c r="G1208" i="1"/>
  <c r="P1207" i="1"/>
  <c r="G1207" i="1"/>
  <c r="P1206" i="1"/>
  <c r="G1206" i="1"/>
  <c r="P1205" i="1"/>
  <c r="G1205" i="1"/>
  <c r="P1204" i="1"/>
  <c r="G1204" i="1"/>
  <c r="P1203" i="1"/>
  <c r="G1203" i="1"/>
  <c r="P1202" i="1"/>
  <c r="G1202" i="1"/>
  <c r="P1201" i="1"/>
  <c r="G1201" i="1"/>
  <c r="P1200" i="1"/>
  <c r="G1200" i="1"/>
  <c r="P1199" i="1"/>
  <c r="G1199" i="1"/>
  <c r="P1198" i="1"/>
  <c r="G1198" i="1"/>
  <c r="P1197" i="1"/>
  <c r="G1197" i="1"/>
  <c r="P1196" i="1"/>
  <c r="G1196" i="1"/>
  <c r="P1195" i="1"/>
  <c r="G1195" i="1"/>
  <c r="P1194" i="1"/>
  <c r="G1194" i="1"/>
  <c r="P1193" i="1"/>
  <c r="G1193" i="1"/>
  <c r="P1192" i="1"/>
  <c r="G1192" i="1"/>
  <c r="P1191" i="1"/>
  <c r="G1191" i="1"/>
  <c r="P1190" i="1"/>
  <c r="G1190" i="1"/>
  <c r="P1189" i="1"/>
  <c r="G1189" i="1"/>
  <c r="P1188" i="1"/>
  <c r="G1188" i="1"/>
  <c r="P1187" i="1"/>
  <c r="G1187" i="1"/>
  <c r="P1186" i="1"/>
  <c r="G1186" i="1"/>
  <c r="P1185" i="1"/>
  <c r="G1185" i="1"/>
  <c r="P1184" i="1"/>
  <c r="G1184" i="1"/>
  <c r="P1183" i="1"/>
  <c r="G1183" i="1"/>
  <c r="P1182" i="1"/>
  <c r="G1182" i="1"/>
  <c r="P1181" i="1"/>
  <c r="G1181" i="1"/>
  <c r="P1180" i="1"/>
  <c r="G1180" i="1"/>
  <c r="P1179" i="1"/>
  <c r="G1179" i="1"/>
  <c r="P1178" i="1"/>
  <c r="G1178" i="1"/>
  <c r="P1177" i="1"/>
  <c r="G1177" i="1"/>
  <c r="P1176" i="1"/>
  <c r="G1176" i="1"/>
  <c r="P1175" i="1"/>
  <c r="G1175" i="1"/>
  <c r="P1174" i="1"/>
  <c r="G1174" i="1"/>
  <c r="P1173" i="1"/>
  <c r="G1173" i="1"/>
  <c r="P1172" i="1"/>
  <c r="G1172" i="1"/>
  <c r="P1171" i="1"/>
  <c r="G1171" i="1"/>
  <c r="P1170" i="1"/>
  <c r="G1170" i="1"/>
  <c r="P1169" i="1"/>
  <c r="G1169" i="1"/>
  <c r="P1168" i="1"/>
  <c r="G1168" i="1"/>
  <c r="P1167" i="1"/>
  <c r="G1167" i="1"/>
  <c r="P1166" i="1"/>
  <c r="G1166" i="1"/>
  <c r="P1165" i="1"/>
  <c r="G1165" i="1"/>
  <c r="P1164" i="1"/>
  <c r="G1164" i="1"/>
  <c r="P1163" i="1"/>
  <c r="G1163" i="1"/>
  <c r="P1162" i="1"/>
  <c r="G1162" i="1"/>
  <c r="P1161" i="1"/>
  <c r="G1161" i="1"/>
  <c r="P1160" i="1"/>
  <c r="G1160" i="1"/>
  <c r="P1159" i="1"/>
  <c r="G1159" i="1"/>
  <c r="P1158" i="1"/>
  <c r="G1158" i="1"/>
  <c r="P1157" i="1"/>
  <c r="G1157" i="1"/>
  <c r="P1156" i="1"/>
  <c r="G1156" i="1"/>
  <c r="P1155" i="1"/>
  <c r="G1155" i="1"/>
  <c r="P1154" i="1"/>
  <c r="G1154" i="1"/>
  <c r="P1153" i="1"/>
  <c r="G1153" i="1"/>
  <c r="P1152" i="1"/>
  <c r="G1152" i="1"/>
  <c r="P1151" i="1"/>
  <c r="G1151" i="1"/>
  <c r="P1150" i="1"/>
  <c r="G1150" i="1"/>
  <c r="P1149" i="1"/>
  <c r="G1149" i="1"/>
  <c r="P1148" i="1"/>
  <c r="G1148" i="1"/>
  <c r="P1147" i="1"/>
  <c r="G1147" i="1"/>
  <c r="P1146" i="1"/>
  <c r="G1146" i="1"/>
  <c r="P1145" i="1"/>
  <c r="G1145" i="1"/>
  <c r="P1144" i="1"/>
  <c r="G1144" i="1"/>
  <c r="P1143" i="1"/>
  <c r="G1143" i="1"/>
  <c r="P1142" i="1"/>
  <c r="G1142" i="1"/>
  <c r="P1141" i="1"/>
  <c r="G1141" i="1"/>
  <c r="P1140" i="1"/>
  <c r="G1140" i="1"/>
  <c r="P1139" i="1"/>
  <c r="G1139" i="1"/>
  <c r="P1138" i="1"/>
  <c r="G1138" i="1"/>
  <c r="P1137" i="1"/>
  <c r="G1137" i="1"/>
  <c r="P1136" i="1"/>
  <c r="G1136" i="1"/>
  <c r="P1135" i="1"/>
  <c r="G1135" i="1"/>
  <c r="P1134" i="1"/>
  <c r="G1134" i="1"/>
  <c r="P1133" i="1"/>
  <c r="G1133" i="1"/>
  <c r="P1132" i="1"/>
  <c r="G1132" i="1"/>
  <c r="P1131" i="1"/>
  <c r="G1131" i="1"/>
  <c r="P1130" i="1"/>
  <c r="G1130" i="1"/>
  <c r="P1129" i="1"/>
  <c r="G1129" i="1"/>
  <c r="P1128" i="1"/>
  <c r="G1128" i="1"/>
  <c r="P1127" i="1"/>
  <c r="G1127" i="1"/>
  <c r="P1126" i="1"/>
  <c r="G1126" i="1"/>
  <c r="P1125" i="1"/>
  <c r="G1125" i="1"/>
  <c r="P1124" i="1"/>
  <c r="G1124" i="1"/>
  <c r="P1123" i="1"/>
  <c r="G1123" i="1"/>
  <c r="P1122" i="1"/>
  <c r="G1122" i="1"/>
  <c r="P1121" i="1"/>
  <c r="G1121" i="1"/>
  <c r="P1120" i="1"/>
  <c r="G1120" i="1"/>
  <c r="P1119" i="1"/>
  <c r="G1119" i="1"/>
  <c r="P1118" i="1"/>
  <c r="G1118" i="1"/>
  <c r="P1117" i="1"/>
  <c r="G1117" i="1"/>
  <c r="P1116" i="1"/>
  <c r="G1116" i="1"/>
  <c r="P1115" i="1"/>
  <c r="G1115" i="1"/>
  <c r="P1114" i="1"/>
  <c r="G1114" i="1"/>
  <c r="P1113" i="1"/>
  <c r="G1113" i="1"/>
  <c r="P1112" i="1"/>
  <c r="G1112" i="1"/>
  <c r="P1111" i="1"/>
  <c r="G1111" i="1"/>
  <c r="P1110" i="1"/>
  <c r="G1110" i="1"/>
  <c r="P1109" i="1"/>
  <c r="G1109" i="1"/>
  <c r="P1108" i="1"/>
  <c r="G1108" i="1"/>
  <c r="P1107" i="1"/>
  <c r="G1107" i="1"/>
  <c r="P1106" i="1"/>
  <c r="G1106" i="1"/>
  <c r="P1105" i="1"/>
  <c r="G1105" i="1"/>
  <c r="P1104" i="1"/>
  <c r="G1104" i="1"/>
  <c r="P1103" i="1"/>
  <c r="G1103" i="1"/>
  <c r="P1102" i="1"/>
  <c r="G1102" i="1"/>
  <c r="P1101" i="1"/>
  <c r="G1101" i="1"/>
  <c r="P1100" i="1"/>
  <c r="G1100" i="1"/>
  <c r="P1099" i="1"/>
  <c r="G1099" i="1"/>
  <c r="P1098" i="1"/>
  <c r="G1098" i="1"/>
  <c r="P1097" i="1"/>
  <c r="G1097" i="1"/>
  <c r="P1096" i="1"/>
  <c r="G1096" i="1"/>
  <c r="P1095" i="1"/>
  <c r="G1095" i="1"/>
  <c r="P1094" i="1"/>
  <c r="G1094" i="1"/>
  <c r="P1093" i="1"/>
  <c r="G1093" i="1"/>
  <c r="P1092" i="1"/>
  <c r="G1092" i="1"/>
  <c r="P1091" i="1"/>
  <c r="G1091" i="1"/>
  <c r="P1090" i="1"/>
  <c r="G1090" i="1"/>
  <c r="P1089" i="1"/>
  <c r="G1089" i="1"/>
  <c r="P1088" i="1"/>
  <c r="G1088" i="1"/>
  <c r="P1087" i="1"/>
  <c r="G1087" i="1"/>
  <c r="P1086" i="1"/>
  <c r="G1086" i="1"/>
  <c r="P1085" i="1"/>
  <c r="G1085" i="1"/>
  <c r="P1084" i="1"/>
  <c r="G1084" i="1"/>
  <c r="P1083" i="1"/>
  <c r="G1083" i="1"/>
  <c r="P1082" i="1"/>
  <c r="G1082" i="1"/>
  <c r="P1081" i="1"/>
  <c r="G1081" i="1"/>
  <c r="P1080" i="1"/>
  <c r="G1080" i="1"/>
  <c r="P1079" i="1"/>
  <c r="G1079" i="1"/>
  <c r="P1078" i="1"/>
  <c r="G1078" i="1"/>
  <c r="P1077" i="1"/>
  <c r="G1077" i="1"/>
  <c r="P1076" i="1"/>
  <c r="G1076" i="1"/>
  <c r="P1075" i="1"/>
  <c r="G1075" i="1"/>
  <c r="P1074" i="1"/>
  <c r="G1074" i="1"/>
  <c r="P1073" i="1"/>
  <c r="G1073" i="1"/>
  <c r="P1072" i="1"/>
  <c r="G1072" i="1"/>
  <c r="P1071" i="1"/>
  <c r="G1071" i="1"/>
  <c r="P1070" i="1"/>
  <c r="G1070" i="1"/>
  <c r="P1069" i="1"/>
  <c r="G1069" i="1"/>
  <c r="P1068" i="1"/>
  <c r="G1068" i="1"/>
  <c r="P1067" i="1"/>
  <c r="G1067" i="1"/>
  <c r="P1066" i="1"/>
  <c r="G1066" i="1"/>
  <c r="P1065" i="1"/>
  <c r="G1065" i="1"/>
  <c r="P1064" i="1"/>
  <c r="G1064" i="1"/>
  <c r="P1063" i="1"/>
  <c r="G1063" i="1"/>
  <c r="P1062" i="1"/>
  <c r="G1062" i="1"/>
  <c r="P1061" i="1"/>
  <c r="G1061" i="1"/>
  <c r="P1060" i="1"/>
  <c r="G1060" i="1"/>
  <c r="P1059" i="1"/>
  <c r="G1059" i="1"/>
  <c r="P1058" i="1"/>
  <c r="G1058" i="1"/>
  <c r="P1057" i="1"/>
  <c r="G1057" i="1"/>
  <c r="P1056" i="1"/>
  <c r="G1056" i="1"/>
  <c r="P1055" i="1"/>
  <c r="G1055" i="1"/>
  <c r="P1054" i="1"/>
  <c r="G1054" i="1"/>
  <c r="P1053" i="1"/>
  <c r="G1053" i="1"/>
  <c r="P1052" i="1"/>
  <c r="G1052" i="1"/>
  <c r="P1051" i="1"/>
  <c r="G1051" i="1"/>
  <c r="P1050" i="1"/>
  <c r="G1050" i="1"/>
  <c r="P1049" i="1"/>
  <c r="G1049" i="1"/>
  <c r="P1048" i="1"/>
  <c r="G1048" i="1"/>
  <c r="P1047" i="1"/>
  <c r="G1047" i="1"/>
  <c r="P1046" i="1"/>
  <c r="G1046" i="1"/>
  <c r="P1045" i="1"/>
  <c r="G1045" i="1"/>
  <c r="P1044" i="1"/>
  <c r="G1044" i="1"/>
  <c r="P1043" i="1"/>
  <c r="G1043" i="1"/>
  <c r="P1042" i="1"/>
  <c r="G1042" i="1"/>
  <c r="P1041" i="1"/>
  <c r="G1041" i="1"/>
  <c r="P1040" i="1"/>
  <c r="G1040" i="1"/>
  <c r="P1039" i="1"/>
  <c r="G1039" i="1"/>
  <c r="P1038" i="1"/>
  <c r="G1038" i="1"/>
  <c r="P1037" i="1"/>
  <c r="G1037" i="1"/>
  <c r="P1036" i="1"/>
  <c r="G1036" i="1"/>
  <c r="P1035" i="1"/>
  <c r="G1035" i="1"/>
  <c r="P1034" i="1"/>
  <c r="G1034" i="1"/>
  <c r="P1033" i="1"/>
  <c r="G1033" i="1"/>
  <c r="P1032" i="1"/>
  <c r="G1032" i="1"/>
  <c r="P1031" i="1"/>
  <c r="G1031" i="1"/>
  <c r="P1030" i="1"/>
  <c r="G1030" i="1"/>
  <c r="P1029" i="1"/>
  <c r="G1029" i="1"/>
  <c r="P1028" i="1"/>
  <c r="G1028" i="1"/>
  <c r="P1027" i="1"/>
  <c r="G1027" i="1"/>
  <c r="P1026" i="1"/>
  <c r="G1026" i="1"/>
  <c r="P1025" i="1"/>
  <c r="G1025" i="1"/>
  <c r="P1024" i="1"/>
  <c r="G1024" i="1"/>
  <c r="P1023" i="1"/>
  <c r="G1023" i="1"/>
  <c r="P1022" i="1"/>
  <c r="G1022" i="1"/>
  <c r="P1021" i="1"/>
  <c r="G1021" i="1"/>
  <c r="P1020" i="1"/>
  <c r="G1020" i="1"/>
  <c r="P1019" i="1"/>
  <c r="G1019" i="1"/>
  <c r="P1018" i="1"/>
  <c r="G1018" i="1"/>
  <c r="P1017" i="1"/>
  <c r="G1017" i="1"/>
  <c r="P1016" i="1"/>
  <c r="G1016" i="1"/>
  <c r="P1015" i="1"/>
  <c r="G1015" i="1"/>
  <c r="P1014" i="1"/>
  <c r="G1014" i="1"/>
  <c r="P1013" i="1"/>
  <c r="G1013" i="1"/>
  <c r="P1012" i="1"/>
  <c r="G1012" i="1"/>
  <c r="P1011" i="1"/>
  <c r="G1011" i="1"/>
  <c r="P1010" i="1"/>
  <c r="G1010" i="1"/>
  <c r="P1009" i="1"/>
  <c r="G1009" i="1"/>
  <c r="P1008" i="1"/>
  <c r="G1008" i="1"/>
  <c r="P1007" i="1"/>
  <c r="G1007" i="1"/>
  <c r="P1006" i="1"/>
  <c r="G1006" i="1"/>
  <c r="P1005" i="1"/>
  <c r="G1005" i="1"/>
  <c r="P1004" i="1"/>
  <c r="G1004" i="1"/>
  <c r="P1003" i="1"/>
  <c r="G1003" i="1"/>
  <c r="P1002" i="1"/>
  <c r="G1002" i="1"/>
  <c r="P1001" i="1"/>
  <c r="G1001" i="1"/>
  <c r="P1000" i="1"/>
  <c r="G1000" i="1"/>
  <c r="P999" i="1"/>
  <c r="G999" i="1"/>
  <c r="P998" i="1"/>
  <c r="G998" i="1"/>
  <c r="P997" i="1"/>
  <c r="G997" i="1"/>
  <c r="P996" i="1"/>
  <c r="G996" i="1"/>
  <c r="P995" i="1"/>
  <c r="G995" i="1"/>
  <c r="P994" i="1"/>
  <c r="G994" i="1"/>
  <c r="P993" i="1"/>
  <c r="G993" i="1"/>
  <c r="P992" i="1"/>
  <c r="G992" i="1"/>
  <c r="P991" i="1"/>
  <c r="G991" i="1"/>
  <c r="P990" i="1"/>
  <c r="G990" i="1"/>
  <c r="P989" i="1"/>
  <c r="G989" i="1"/>
  <c r="P988" i="1"/>
  <c r="G988" i="1"/>
  <c r="P987" i="1"/>
  <c r="G987" i="1"/>
  <c r="P986" i="1"/>
  <c r="G986" i="1"/>
  <c r="P985" i="1"/>
  <c r="G985" i="1"/>
  <c r="P984" i="1"/>
  <c r="G984" i="1"/>
  <c r="P983" i="1"/>
  <c r="G983" i="1"/>
  <c r="P982" i="1"/>
  <c r="G982" i="1"/>
  <c r="P981" i="1"/>
  <c r="G981" i="1"/>
  <c r="P980" i="1"/>
  <c r="G980" i="1"/>
  <c r="P979" i="1"/>
  <c r="G979" i="1"/>
  <c r="P978" i="1"/>
  <c r="G978" i="1"/>
  <c r="P977" i="1"/>
  <c r="G977" i="1"/>
  <c r="P976" i="1"/>
  <c r="G976" i="1"/>
  <c r="P975" i="1"/>
  <c r="G975" i="1"/>
  <c r="P974" i="1"/>
  <c r="G974" i="1"/>
  <c r="P973" i="1"/>
  <c r="G973" i="1"/>
  <c r="P972" i="1"/>
  <c r="G972" i="1"/>
  <c r="P971" i="1"/>
  <c r="G971" i="1"/>
  <c r="P970" i="1"/>
  <c r="G970" i="1"/>
  <c r="P969" i="1"/>
  <c r="G969" i="1"/>
  <c r="P968" i="1"/>
  <c r="G968" i="1"/>
  <c r="P967" i="1"/>
  <c r="G967" i="1"/>
  <c r="P966" i="1"/>
  <c r="G966" i="1"/>
  <c r="P965" i="1"/>
  <c r="G965" i="1"/>
  <c r="P964" i="1"/>
  <c r="G964" i="1"/>
  <c r="P963" i="1"/>
  <c r="G963" i="1"/>
  <c r="P962" i="1"/>
  <c r="G962" i="1"/>
  <c r="P961" i="1"/>
  <c r="G961" i="1"/>
  <c r="P960" i="1"/>
  <c r="G960" i="1"/>
  <c r="P959" i="1"/>
  <c r="G959" i="1"/>
  <c r="P958" i="1"/>
  <c r="G958" i="1"/>
  <c r="P957" i="1"/>
  <c r="G957" i="1"/>
  <c r="P956" i="1"/>
  <c r="G956" i="1"/>
  <c r="P955" i="1"/>
  <c r="G955" i="1"/>
  <c r="P954" i="1"/>
  <c r="G954" i="1"/>
  <c r="P953" i="1"/>
  <c r="G953" i="1"/>
  <c r="P952" i="1"/>
  <c r="G952" i="1"/>
  <c r="P951" i="1"/>
  <c r="G951" i="1"/>
  <c r="P950" i="1"/>
  <c r="G950" i="1"/>
  <c r="P949" i="1"/>
  <c r="G949" i="1"/>
  <c r="P948" i="1"/>
  <c r="G948" i="1"/>
  <c r="P947" i="1"/>
  <c r="G947" i="1"/>
  <c r="P946" i="1"/>
  <c r="G946" i="1"/>
  <c r="P945" i="1"/>
  <c r="G945" i="1"/>
  <c r="P944" i="1"/>
  <c r="G944" i="1"/>
  <c r="P943" i="1"/>
  <c r="G943" i="1"/>
  <c r="P942" i="1"/>
  <c r="G942" i="1"/>
  <c r="P941" i="1"/>
  <c r="G941" i="1"/>
  <c r="P940" i="1"/>
  <c r="G940" i="1"/>
  <c r="P939" i="1"/>
  <c r="G939" i="1"/>
  <c r="P938" i="1"/>
  <c r="G938" i="1"/>
  <c r="P937" i="1"/>
  <c r="G937" i="1"/>
  <c r="P936" i="1"/>
  <c r="G936" i="1"/>
  <c r="P935" i="1"/>
  <c r="G935" i="1"/>
  <c r="P934" i="1"/>
  <c r="G934" i="1"/>
  <c r="P933" i="1"/>
  <c r="G933" i="1"/>
  <c r="P932" i="1"/>
  <c r="G932" i="1"/>
  <c r="P931" i="1"/>
  <c r="G931" i="1"/>
  <c r="P930" i="1"/>
  <c r="G930" i="1"/>
  <c r="P929" i="1"/>
  <c r="G929" i="1"/>
  <c r="P928" i="1"/>
  <c r="G928" i="1"/>
  <c r="P927" i="1"/>
  <c r="G927" i="1"/>
  <c r="P926" i="1"/>
  <c r="G926" i="1"/>
  <c r="P925" i="1"/>
  <c r="G925" i="1"/>
  <c r="P924" i="1"/>
  <c r="G924" i="1"/>
  <c r="P923" i="1"/>
  <c r="G923" i="1"/>
  <c r="P922" i="1"/>
  <c r="G922" i="1"/>
  <c r="P921" i="1"/>
  <c r="G921" i="1"/>
  <c r="P920" i="1"/>
  <c r="G920" i="1"/>
  <c r="P919" i="1"/>
  <c r="G919" i="1"/>
  <c r="P918" i="1"/>
  <c r="G918" i="1"/>
  <c r="P917" i="1"/>
  <c r="G917" i="1"/>
  <c r="P916" i="1"/>
  <c r="G916" i="1"/>
  <c r="P915" i="1"/>
  <c r="G915" i="1"/>
  <c r="P914" i="1"/>
  <c r="G914" i="1"/>
  <c r="P913" i="1"/>
  <c r="G913" i="1"/>
  <c r="P912" i="1"/>
  <c r="G912" i="1"/>
  <c r="P911" i="1"/>
  <c r="G911" i="1"/>
  <c r="P910" i="1"/>
  <c r="G910" i="1"/>
  <c r="P909" i="1"/>
  <c r="G909" i="1"/>
  <c r="P908" i="1"/>
  <c r="G908" i="1"/>
  <c r="P907" i="1"/>
  <c r="G907" i="1"/>
  <c r="P906" i="1"/>
  <c r="G906" i="1"/>
  <c r="P905" i="1"/>
  <c r="G905" i="1"/>
  <c r="P904" i="1"/>
  <c r="G904" i="1"/>
  <c r="P903" i="1"/>
  <c r="G903" i="1"/>
  <c r="P902" i="1"/>
  <c r="G902" i="1"/>
  <c r="P901" i="1"/>
  <c r="G901" i="1"/>
  <c r="P900" i="1"/>
  <c r="G900" i="1"/>
  <c r="P899" i="1"/>
  <c r="G899" i="1"/>
  <c r="P898" i="1"/>
  <c r="G898" i="1"/>
  <c r="P897" i="1"/>
  <c r="G897" i="1"/>
  <c r="P896" i="1"/>
  <c r="G896" i="1"/>
  <c r="P895" i="1"/>
  <c r="G895" i="1"/>
  <c r="P894" i="1"/>
  <c r="G894" i="1"/>
  <c r="P893" i="1"/>
  <c r="G893" i="1"/>
  <c r="P892" i="1"/>
  <c r="G892" i="1"/>
  <c r="P891" i="1"/>
  <c r="G891" i="1"/>
  <c r="P890" i="1"/>
  <c r="G890" i="1"/>
  <c r="P889" i="1"/>
  <c r="G889" i="1"/>
  <c r="P888" i="1"/>
  <c r="G888" i="1"/>
  <c r="P887" i="1"/>
  <c r="G887" i="1"/>
  <c r="P886" i="1"/>
  <c r="G886" i="1"/>
  <c r="P885" i="1"/>
  <c r="G885" i="1"/>
  <c r="P884" i="1"/>
  <c r="G884" i="1"/>
  <c r="P883" i="1"/>
  <c r="G883" i="1"/>
  <c r="P882" i="1"/>
  <c r="G882" i="1"/>
  <c r="P881" i="1"/>
  <c r="G881" i="1"/>
  <c r="P880" i="1"/>
  <c r="G880" i="1"/>
  <c r="P879" i="1"/>
  <c r="G879" i="1"/>
  <c r="P878" i="1"/>
  <c r="G878" i="1"/>
  <c r="P877" i="1"/>
  <c r="G877" i="1"/>
  <c r="P876" i="1"/>
  <c r="G876" i="1"/>
  <c r="P875" i="1"/>
  <c r="G875" i="1"/>
  <c r="P874" i="1"/>
  <c r="G874" i="1"/>
  <c r="P873" i="1"/>
  <c r="G873" i="1"/>
  <c r="P872" i="1"/>
  <c r="G872" i="1"/>
  <c r="P871" i="1"/>
  <c r="G871" i="1"/>
  <c r="P870" i="1"/>
  <c r="G870" i="1"/>
  <c r="P869" i="1"/>
  <c r="G869" i="1"/>
  <c r="P868" i="1"/>
  <c r="G868" i="1"/>
  <c r="P867" i="1"/>
  <c r="G867" i="1"/>
  <c r="P866" i="1"/>
  <c r="G866" i="1"/>
  <c r="P865" i="1"/>
  <c r="G865" i="1"/>
  <c r="P864" i="1"/>
  <c r="G864" i="1"/>
  <c r="P863" i="1"/>
  <c r="G863" i="1"/>
  <c r="P862" i="1"/>
  <c r="G862" i="1"/>
  <c r="P861" i="1"/>
  <c r="G861" i="1"/>
  <c r="P860" i="1"/>
  <c r="G860" i="1"/>
  <c r="P859" i="1"/>
  <c r="G859" i="1"/>
  <c r="P858" i="1"/>
  <c r="G858" i="1"/>
  <c r="P857" i="1"/>
  <c r="G857" i="1"/>
  <c r="P856" i="1"/>
  <c r="G856" i="1"/>
  <c r="P855" i="1"/>
  <c r="G855" i="1"/>
  <c r="P854" i="1"/>
  <c r="G854" i="1"/>
  <c r="P853" i="1"/>
  <c r="G853" i="1"/>
  <c r="P852" i="1"/>
  <c r="G852" i="1"/>
  <c r="P851" i="1"/>
  <c r="G851" i="1"/>
  <c r="P850" i="1"/>
  <c r="G850" i="1"/>
  <c r="P849" i="1"/>
  <c r="G849" i="1"/>
  <c r="P848" i="1"/>
  <c r="G848" i="1"/>
  <c r="P847" i="1"/>
  <c r="G847" i="1"/>
  <c r="P846" i="1"/>
  <c r="G846" i="1"/>
  <c r="P845" i="1"/>
  <c r="G845" i="1"/>
  <c r="P844" i="1"/>
  <c r="G844" i="1"/>
  <c r="P843" i="1"/>
  <c r="G843" i="1"/>
  <c r="P842" i="1"/>
  <c r="G842" i="1"/>
  <c r="P841" i="1"/>
  <c r="G841" i="1"/>
  <c r="P840" i="1"/>
  <c r="G840" i="1"/>
  <c r="P839" i="1"/>
  <c r="G839" i="1"/>
  <c r="P838" i="1"/>
  <c r="G838" i="1"/>
  <c r="P837" i="1"/>
  <c r="G837" i="1"/>
  <c r="P836" i="1"/>
  <c r="G836" i="1"/>
  <c r="P835" i="1"/>
  <c r="G835" i="1"/>
  <c r="P834" i="1"/>
  <c r="G834" i="1"/>
  <c r="P833" i="1"/>
  <c r="G833" i="1"/>
  <c r="P832" i="1"/>
  <c r="G832" i="1"/>
  <c r="P831" i="1"/>
  <c r="G831" i="1"/>
  <c r="P830" i="1"/>
  <c r="G830" i="1"/>
  <c r="P829" i="1"/>
  <c r="G829" i="1"/>
  <c r="P828" i="1"/>
  <c r="G828" i="1"/>
  <c r="P827" i="1"/>
  <c r="G827" i="1"/>
  <c r="P826" i="1"/>
  <c r="G826" i="1"/>
  <c r="P825" i="1"/>
  <c r="G825" i="1"/>
  <c r="P824" i="1"/>
  <c r="G824" i="1"/>
  <c r="P823" i="1"/>
  <c r="G823" i="1"/>
  <c r="P822" i="1"/>
  <c r="G822" i="1"/>
  <c r="P821" i="1"/>
  <c r="G821" i="1"/>
  <c r="P820" i="1"/>
  <c r="G820" i="1"/>
  <c r="P819" i="1"/>
  <c r="G819" i="1"/>
  <c r="P818" i="1"/>
  <c r="G818" i="1"/>
  <c r="P817" i="1"/>
  <c r="G817" i="1"/>
  <c r="P816" i="1"/>
  <c r="G816" i="1"/>
  <c r="P815" i="1"/>
  <c r="G815" i="1"/>
  <c r="P814" i="1"/>
  <c r="G814" i="1"/>
  <c r="P813" i="1"/>
  <c r="G813" i="1"/>
  <c r="P812" i="1"/>
  <c r="G812" i="1"/>
  <c r="P811" i="1"/>
  <c r="G811" i="1"/>
  <c r="P810" i="1"/>
  <c r="G810" i="1"/>
  <c r="P809" i="1"/>
  <c r="G809" i="1"/>
  <c r="P808" i="1"/>
  <c r="G808" i="1"/>
  <c r="P807" i="1"/>
  <c r="G807" i="1"/>
  <c r="P806" i="1"/>
  <c r="G806" i="1"/>
  <c r="P805" i="1"/>
  <c r="G805" i="1"/>
  <c r="P804" i="1"/>
  <c r="G804" i="1"/>
  <c r="P803" i="1"/>
  <c r="G803" i="1"/>
  <c r="P802" i="1"/>
  <c r="G802" i="1"/>
  <c r="P801" i="1"/>
  <c r="G801" i="1"/>
  <c r="P800" i="1"/>
  <c r="G800" i="1"/>
  <c r="P799" i="1"/>
  <c r="G799" i="1"/>
  <c r="P798" i="1"/>
  <c r="G798" i="1"/>
  <c r="P797" i="1"/>
  <c r="G797" i="1"/>
  <c r="P796" i="1"/>
  <c r="G796" i="1"/>
  <c r="P795" i="1"/>
  <c r="G795" i="1"/>
  <c r="P794" i="1"/>
  <c r="G794" i="1"/>
  <c r="P793" i="1"/>
  <c r="G793" i="1"/>
  <c r="P792" i="1"/>
  <c r="G792" i="1"/>
  <c r="P791" i="1"/>
  <c r="G791" i="1"/>
  <c r="P790" i="1"/>
  <c r="G790" i="1"/>
  <c r="P789" i="1"/>
  <c r="G789" i="1"/>
  <c r="P788" i="1"/>
  <c r="G788" i="1"/>
  <c r="P787" i="1"/>
  <c r="G787" i="1"/>
  <c r="P786" i="1"/>
  <c r="G786" i="1"/>
  <c r="P785" i="1"/>
  <c r="G785" i="1"/>
  <c r="P784" i="1"/>
  <c r="G784" i="1"/>
  <c r="P783" i="1"/>
  <c r="G783" i="1"/>
  <c r="P782" i="1"/>
  <c r="G782" i="1"/>
  <c r="P781" i="1"/>
  <c r="G781" i="1"/>
  <c r="P780" i="1"/>
  <c r="G780" i="1"/>
  <c r="P779" i="1"/>
  <c r="G779" i="1"/>
  <c r="P778" i="1"/>
  <c r="G778" i="1"/>
  <c r="P777" i="1"/>
  <c r="G777" i="1"/>
  <c r="P776" i="1"/>
  <c r="G776" i="1"/>
  <c r="P775" i="1"/>
  <c r="G775" i="1"/>
  <c r="P774" i="1"/>
  <c r="G774" i="1"/>
  <c r="P773" i="1"/>
  <c r="G773" i="1"/>
  <c r="P772" i="1"/>
  <c r="G772" i="1"/>
  <c r="P771" i="1"/>
  <c r="G771" i="1"/>
  <c r="P770" i="1"/>
  <c r="G770" i="1"/>
  <c r="P769" i="1"/>
  <c r="G769" i="1"/>
  <c r="P768" i="1"/>
  <c r="G768" i="1"/>
  <c r="P767" i="1"/>
  <c r="G767" i="1"/>
  <c r="P766" i="1"/>
  <c r="G766" i="1"/>
  <c r="P765" i="1"/>
  <c r="G765" i="1"/>
  <c r="P764" i="1"/>
  <c r="G764" i="1"/>
  <c r="P763" i="1"/>
  <c r="G763" i="1"/>
  <c r="P762" i="1"/>
  <c r="G762" i="1"/>
  <c r="P761" i="1"/>
  <c r="G761" i="1"/>
  <c r="P760" i="1"/>
  <c r="G760" i="1"/>
  <c r="P759" i="1"/>
  <c r="G759" i="1"/>
  <c r="P758" i="1"/>
  <c r="G758" i="1"/>
  <c r="P757" i="1"/>
  <c r="G757" i="1"/>
  <c r="P756" i="1"/>
  <c r="G756" i="1"/>
  <c r="P755" i="1"/>
  <c r="G755" i="1"/>
  <c r="P754" i="1"/>
  <c r="G754" i="1"/>
  <c r="P753" i="1"/>
  <c r="G753" i="1"/>
  <c r="P752" i="1"/>
  <c r="G752" i="1"/>
  <c r="P751" i="1"/>
  <c r="G751" i="1"/>
  <c r="P750" i="1"/>
  <c r="G750" i="1"/>
  <c r="P749" i="1"/>
  <c r="G749" i="1"/>
  <c r="P748" i="1"/>
  <c r="G748" i="1"/>
  <c r="P747" i="1"/>
  <c r="G747" i="1"/>
  <c r="P746" i="1"/>
  <c r="G746" i="1"/>
  <c r="P745" i="1"/>
  <c r="G745" i="1"/>
  <c r="P744" i="1"/>
  <c r="G744" i="1"/>
  <c r="P743" i="1"/>
  <c r="G743" i="1"/>
  <c r="P742" i="1"/>
  <c r="G742" i="1"/>
  <c r="P741" i="1"/>
  <c r="G741" i="1"/>
  <c r="P740" i="1"/>
  <c r="G740" i="1"/>
  <c r="P739" i="1"/>
  <c r="G739" i="1"/>
  <c r="P738" i="1"/>
  <c r="G738" i="1"/>
  <c r="P737" i="1"/>
  <c r="G737" i="1"/>
  <c r="P736" i="1"/>
  <c r="G736" i="1"/>
  <c r="P735" i="1"/>
  <c r="G735" i="1"/>
  <c r="P734" i="1"/>
  <c r="G734" i="1"/>
  <c r="P733" i="1"/>
  <c r="G733" i="1"/>
  <c r="P732" i="1"/>
  <c r="G732" i="1"/>
  <c r="P731" i="1"/>
  <c r="G731" i="1"/>
  <c r="P730" i="1"/>
  <c r="G730" i="1"/>
  <c r="P729" i="1"/>
  <c r="G729" i="1"/>
  <c r="P728" i="1"/>
  <c r="G728" i="1"/>
  <c r="P727" i="1"/>
  <c r="G727" i="1"/>
  <c r="P726" i="1"/>
  <c r="G726" i="1"/>
  <c r="P725" i="1"/>
  <c r="G725" i="1"/>
  <c r="P724" i="1"/>
  <c r="G724" i="1"/>
  <c r="P723" i="1"/>
  <c r="G723" i="1"/>
  <c r="P722" i="1"/>
  <c r="G722" i="1"/>
  <c r="P721" i="1"/>
  <c r="G721" i="1"/>
  <c r="P720" i="1"/>
  <c r="G720" i="1"/>
  <c r="P719" i="1"/>
  <c r="G719" i="1"/>
  <c r="P718" i="1"/>
  <c r="G718" i="1"/>
  <c r="P717" i="1"/>
  <c r="G717" i="1"/>
  <c r="P716" i="1"/>
  <c r="G716" i="1"/>
  <c r="P715" i="1"/>
  <c r="G715" i="1"/>
  <c r="P714" i="1"/>
  <c r="G714" i="1"/>
  <c r="P713" i="1"/>
  <c r="G713" i="1"/>
  <c r="P712" i="1"/>
  <c r="G712" i="1"/>
  <c r="P711" i="1"/>
  <c r="G711" i="1"/>
  <c r="P710" i="1"/>
  <c r="G710" i="1"/>
  <c r="P709" i="1"/>
  <c r="G709" i="1"/>
  <c r="P708" i="1"/>
  <c r="G708" i="1"/>
  <c r="P707" i="1"/>
  <c r="G707" i="1"/>
  <c r="P706" i="1"/>
  <c r="G706" i="1"/>
  <c r="P705" i="1"/>
  <c r="G705" i="1"/>
  <c r="P704" i="1"/>
  <c r="G704" i="1"/>
  <c r="P703" i="1"/>
  <c r="G703" i="1"/>
  <c r="P702" i="1"/>
  <c r="G702" i="1"/>
  <c r="P701" i="1"/>
  <c r="G701" i="1"/>
  <c r="P700" i="1"/>
  <c r="G700" i="1"/>
  <c r="P699" i="1"/>
  <c r="G699" i="1"/>
  <c r="P698" i="1"/>
  <c r="G698" i="1"/>
  <c r="P697" i="1"/>
  <c r="G697" i="1"/>
  <c r="P696" i="1"/>
  <c r="G696" i="1"/>
  <c r="P695" i="1"/>
  <c r="G695" i="1"/>
  <c r="P694" i="1"/>
  <c r="G694" i="1"/>
  <c r="P693" i="1"/>
  <c r="G693" i="1"/>
  <c r="P692" i="1"/>
  <c r="G692" i="1"/>
  <c r="P691" i="1"/>
  <c r="G691" i="1"/>
  <c r="P690" i="1"/>
  <c r="G690" i="1"/>
  <c r="P689" i="1"/>
  <c r="G689" i="1"/>
  <c r="P688" i="1"/>
  <c r="G688" i="1"/>
  <c r="P687" i="1"/>
  <c r="G687" i="1"/>
  <c r="P686" i="1"/>
  <c r="G686" i="1"/>
  <c r="P685" i="1"/>
  <c r="G685" i="1"/>
  <c r="P684" i="1"/>
  <c r="G684" i="1"/>
  <c r="P683" i="1"/>
  <c r="G683" i="1"/>
  <c r="P682" i="1"/>
  <c r="G682" i="1"/>
  <c r="P681" i="1"/>
  <c r="G681" i="1"/>
  <c r="P680" i="1"/>
  <c r="G680" i="1"/>
  <c r="P679" i="1"/>
  <c r="G679" i="1"/>
  <c r="P678" i="1"/>
  <c r="G678" i="1"/>
  <c r="P677" i="1"/>
  <c r="G677" i="1"/>
  <c r="P676" i="1"/>
  <c r="G676" i="1"/>
  <c r="P675" i="1"/>
  <c r="G675" i="1"/>
  <c r="P674" i="1"/>
  <c r="G674" i="1"/>
  <c r="P673" i="1"/>
  <c r="G673" i="1"/>
  <c r="P672" i="1"/>
  <c r="G672" i="1"/>
  <c r="P671" i="1"/>
  <c r="G671" i="1"/>
  <c r="P670" i="1"/>
  <c r="G670" i="1"/>
  <c r="P669" i="1"/>
  <c r="G669" i="1"/>
  <c r="P668" i="1"/>
  <c r="G668" i="1"/>
  <c r="P667" i="1"/>
  <c r="G667" i="1"/>
  <c r="P666" i="1"/>
  <c r="G666" i="1"/>
  <c r="P665" i="1"/>
  <c r="G665" i="1"/>
  <c r="P664" i="1"/>
  <c r="G664" i="1"/>
  <c r="P663" i="1"/>
  <c r="G663" i="1"/>
  <c r="P662" i="1"/>
  <c r="G662" i="1"/>
  <c r="P661" i="1"/>
  <c r="G661" i="1"/>
  <c r="P660" i="1"/>
  <c r="G660" i="1"/>
  <c r="P659" i="1"/>
  <c r="G659" i="1"/>
  <c r="P658" i="1"/>
  <c r="G658" i="1"/>
  <c r="P657" i="1"/>
  <c r="G657" i="1"/>
  <c r="P656" i="1"/>
  <c r="G656" i="1"/>
  <c r="P655" i="1"/>
  <c r="G655" i="1"/>
  <c r="P654" i="1"/>
  <c r="G654" i="1"/>
  <c r="P653" i="1"/>
  <c r="G653" i="1"/>
  <c r="P652" i="1"/>
  <c r="G652" i="1"/>
  <c r="P651" i="1"/>
  <c r="G651" i="1"/>
  <c r="P650" i="1"/>
  <c r="G650" i="1"/>
  <c r="P649" i="1"/>
  <c r="G649" i="1"/>
  <c r="P648" i="1"/>
  <c r="G648" i="1"/>
  <c r="P647" i="1"/>
  <c r="G647" i="1"/>
  <c r="P646" i="1"/>
  <c r="G646" i="1"/>
  <c r="P645" i="1"/>
  <c r="G645" i="1"/>
  <c r="P644" i="1"/>
  <c r="G644" i="1"/>
  <c r="P643" i="1"/>
  <c r="G643" i="1"/>
  <c r="P642" i="1"/>
  <c r="G642" i="1"/>
  <c r="P641" i="1"/>
  <c r="G641" i="1"/>
  <c r="P640" i="1"/>
  <c r="G640" i="1"/>
  <c r="P639" i="1"/>
  <c r="G639" i="1"/>
  <c r="P638" i="1"/>
  <c r="G638" i="1"/>
  <c r="P637" i="1"/>
  <c r="G637" i="1"/>
  <c r="P636" i="1"/>
  <c r="G636" i="1"/>
  <c r="P635" i="1"/>
  <c r="G635" i="1"/>
  <c r="P634" i="1"/>
  <c r="G634" i="1"/>
  <c r="P633" i="1"/>
  <c r="G633" i="1"/>
  <c r="P632" i="1"/>
  <c r="G632" i="1"/>
  <c r="P631" i="1"/>
  <c r="G631" i="1"/>
  <c r="P630" i="1"/>
  <c r="G630" i="1"/>
  <c r="P629" i="1"/>
  <c r="G629" i="1"/>
  <c r="P628" i="1"/>
  <c r="G628" i="1"/>
  <c r="P627" i="1"/>
  <c r="G627" i="1"/>
  <c r="P626" i="1"/>
  <c r="G626" i="1"/>
  <c r="P625" i="1"/>
  <c r="G625" i="1"/>
  <c r="P624" i="1"/>
  <c r="G624" i="1"/>
  <c r="P623" i="1"/>
  <c r="G623" i="1"/>
  <c r="P622" i="1"/>
  <c r="G622" i="1"/>
  <c r="P621" i="1"/>
  <c r="G621" i="1"/>
  <c r="P620" i="1"/>
  <c r="G620" i="1"/>
  <c r="P619" i="1"/>
  <c r="G619" i="1"/>
  <c r="P618" i="1"/>
  <c r="G618" i="1"/>
  <c r="P617" i="1"/>
  <c r="G617" i="1"/>
  <c r="P616" i="1"/>
  <c r="G616" i="1"/>
  <c r="P615" i="1"/>
  <c r="G615" i="1"/>
  <c r="P614" i="1"/>
  <c r="G614" i="1"/>
  <c r="P613" i="1"/>
  <c r="G613" i="1"/>
  <c r="P612" i="1"/>
  <c r="G612" i="1"/>
  <c r="P611" i="1"/>
  <c r="G611" i="1"/>
  <c r="P610" i="1"/>
  <c r="G610" i="1"/>
  <c r="P609" i="1"/>
  <c r="G609" i="1"/>
  <c r="P608" i="1"/>
  <c r="G608" i="1"/>
  <c r="P607" i="1"/>
  <c r="G607" i="1"/>
  <c r="P606" i="1"/>
  <c r="G606" i="1"/>
  <c r="P605" i="1"/>
  <c r="G605" i="1"/>
  <c r="P604" i="1"/>
  <c r="G604" i="1"/>
  <c r="P603" i="1"/>
  <c r="G603" i="1"/>
  <c r="P602" i="1"/>
  <c r="G602" i="1"/>
  <c r="P601" i="1"/>
  <c r="G601" i="1"/>
  <c r="P600" i="1"/>
  <c r="G600" i="1"/>
  <c r="P599" i="1"/>
  <c r="G599" i="1"/>
  <c r="P598" i="1"/>
  <c r="G598" i="1"/>
  <c r="P597" i="1"/>
  <c r="G597" i="1"/>
  <c r="P596" i="1"/>
  <c r="G596" i="1"/>
  <c r="P595" i="1"/>
  <c r="G595" i="1"/>
  <c r="P594" i="1"/>
  <c r="G594" i="1"/>
  <c r="P593" i="1"/>
  <c r="G593" i="1"/>
  <c r="P592" i="1"/>
  <c r="G592" i="1"/>
  <c r="P591" i="1"/>
  <c r="G591" i="1"/>
  <c r="P590" i="1"/>
  <c r="G590" i="1"/>
  <c r="P589" i="1"/>
  <c r="G589" i="1"/>
  <c r="P588" i="1"/>
  <c r="G588" i="1"/>
  <c r="P587" i="1"/>
  <c r="G587" i="1"/>
  <c r="P586" i="1"/>
  <c r="G586" i="1"/>
  <c r="P585" i="1"/>
  <c r="G585" i="1"/>
  <c r="P584" i="1"/>
  <c r="G584" i="1"/>
  <c r="P583" i="1"/>
  <c r="G583" i="1"/>
  <c r="P582" i="1"/>
  <c r="G582" i="1"/>
  <c r="P581" i="1"/>
  <c r="G581" i="1"/>
  <c r="P580" i="1"/>
  <c r="G580" i="1"/>
  <c r="P579" i="1"/>
  <c r="G579" i="1"/>
  <c r="P578" i="1"/>
  <c r="G578" i="1"/>
  <c r="P577" i="1"/>
  <c r="G577" i="1"/>
  <c r="P576" i="1"/>
  <c r="G576" i="1"/>
  <c r="P575" i="1"/>
  <c r="G575" i="1"/>
  <c r="P574" i="1"/>
  <c r="G574" i="1"/>
  <c r="P573" i="1"/>
  <c r="G573" i="1"/>
  <c r="P572" i="1"/>
  <c r="G572" i="1"/>
  <c r="P571" i="1"/>
  <c r="G571" i="1"/>
  <c r="P570" i="1"/>
  <c r="G570" i="1"/>
  <c r="P569" i="1"/>
  <c r="G569" i="1"/>
  <c r="P568" i="1"/>
  <c r="G568" i="1"/>
  <c r="P567" i="1"/>
  <c r="G567" i="1"/>
  <c r="P566" i="1"/>
  <c r="G566" i="1"/>
  <c r="P565" i="1"/>
  <c r="G565" i="1"/>
  <c r="P564" i="1"/>
  <c r="G564" i="1"/>
  <c r="P563" i="1"/>
  <c r="G563" i="1"/>
  <c r="P562" i="1"/>
  <c r="G562" i="1"/>
  <c r="P561" i="1"/>
  <c r="G561" i="1"/>
  <c r="P560" i="1"/>
  <c r="G560" i="1"/>
  <c r="P559" i="1"/>
  <c r="G559" i="1"/>
  <c r="P558" i="1"/>
  <c r="G558" i="1"/>
  <c r="P557" i="1"/>
  <c r="G557" i="1"/>
  <c r="P556" i="1"/>
  <c r="G556" i="1"/>
  <c r="P555" i="1"/>
  <c r="G555" i="1"/>
  <c r="P554" i="1"/>
  <c r="G554" i="1"/>
  <c r="P553" i="1"/>
  <c r="G553" i="1"/>
  <c r="P552" i="1"/>
  <c r="G552" i="1"/>
  <c r="P551" i="1"/>
  <c r="G551" i="1"/>
  <c r="P550" i="1"/>
  <c r="G550" i="1"/>
  <c r="P549" i="1"/>
  <c r="G549" i="1"/>
  <c r="P548" i="1"/>
  <c r="G548" i="1"/>
  <c r="P547" i="1"/>
  <c r="G547" i="1"/>
  <c r="P546" i="1"/>
  <c r="G546" i="1"/>
  <c r="P545" i="1"/>
  <c r="G545" i="1"/>
  <c r="P544" i="1"/>
  <c r="G544" i="1"/>
  <c r="P543" i="1"/>
  <c r="G543" i="1"/>
  <c r="P542" i="1"/>
  <c r="G542" i="1"/>
  <c r="P541" i="1"/>
  <c r="G541" i="1"/>
  <c r="P540" i="1"/>
  <c r="G540" i="1"/>
  <c r="P539" i="1"/>
  <c r="G539" i="1"/>
  <c r="P538" i="1"/>
  <c r="G538" i="1"/>
  <c r="P537" i="1"/>
  <c r="G537" i="1"/>
  <c r="P536" i="1"/>
  <c r="G536" i="1"/>
  <c r="P535" i="1"/>
  <c r="G535" i="1"/>
  <c r="P534" i="1"/>
  <c r="G534" i="1"/>
  <c r="P533" i="1"/>
  <c r="G533" i="1"/>
  <c r="P532" i="1"/>
  <c r="G532" i="1"/>
  <c r="P531" i="1"/>
  <c r="G531" i="1"/>
  <c r="P530" i="1"/>
  <c r="G530" i="1"/>
  <c r="P529" i="1"/>
  <c r="G529" i="1"/>
  <c r="P528" i="1"/>
  <c r="G528" i="1"/>
  <c r="P527" i="1"/>
  <c r="G527" i="1"/>
  <c r="P526" i="1"/>
  <c r="G526" i="1"/>
  <c r="P525" i="1"/>
  <c r="G525" i="1"/>
  <c r="P524" i="1"/>
  <c r="G524" i="1"/>
  <c r="P523" i="1"/>
  <c r="G523" i="1"/>
  <c r="P522" i="1"/>
  <c r="G522" i="1"/>
  <c r="P521" i="1"/>
  <c r="G521" i="1"/>
  <c r="P520" i="1"/>
  <c r="G520" i="1"/>
  <c r="P519" i="1"/>
  <c r="G519" i="1"/>
  <c r="P518" i="1"/>
  <c r="G518" i="1"/>
  <c r="P517" i="1"/>
  <c r="G517" i="1"/>
  <c r="P516" i="1"/>
  <c r="G516" i="1"/>
  <c r="P515" i="1"/>
  <c r="G515" i="1"/>
  <c r="P514" i="1"/>
  <c r="G514" i="1"/>
  <c r="P513" i="1"/>
  <c r="G513" i="1"/>
  <c r="P512" i="1"/>
  <c r="G512" i="1"/>
  <c r="P511" i="1"/>
  <c r="G511" i="1"/>
  <c r="P510" i="1"/>
  <c r="G510" i="1"/>
  <c r="P509" i="1"/>
  <c r="G509" i="1"/>
  <c r="P508" i="1"/>
  <c r="G508" i="1"/>
  <c r="P507" i="1"/>
  <c r="G507" i="1"/>
  <c r="P506" i="1"/>
  <c r="G506" i="1"/>
  <c r="P505" i="1"/>
  <c r="G505" i="1"/>
  <c r="P504" i="1"/>
  <c r="G504" i="1"/>
  <c r="P503" i="1"/>
  <c r="G503" i="1"/>
  <c r="P502" i="1"/>
  <c r="G502" i="1"/>
  <c r="P501" i="1"/>
  <c r="G501" i="1"/>
  <c r="P500" i="1"/>
  <c r="G500" i="1"/>
  <c r="P499" i="1"/>
  <c r="G499" i="1"/>
  <c r="P498" i="1"/>
  <c r="G498" i="1"/>
  <c r="P497" i="1"/>
  <c r="G497" i="1"/>
  <c r="P496" i="1"/>
  <c r="G496" i="1"/>
  <c r="P495" i="1"/>
  <c r="G495" i="1"/>
  <c r="P494" i="1"/>
  <c r="G494" i="1"/>
  <c r="P493" i="1"/>
  <c r="G493" i="1"/>
  <c r="P492" i="1"/>
  <c r="G492" i="1"/>
  <c r="P491" i="1"/>
  <c r="G491" i="1"/>
  <c r="P490" i="1"/>
  <c r="G490" i="1"/>
  <c r="P489" i="1"/>
  <c r="G489" i="1"/>
  <c r="P488" i="1"/>
  <c r="G488" i="1"/>
  <c r="P487" i="1"/>
  <c r="G487" i="1"/>
  <c r="P486" i="1"/>
  <c r="G486" i="1"/>
  <c r="P485" i="1"/>
  <c r="G485" i="1"/>
  <c r="P484" i="1"/>
  <c r="G484" i="1"/>
  <c r="P483" i="1"/>
  <c r="G483" i="1"/>
  <c r="P482" i="1"/>
  <c r="G482" i="1"/>
  <c r="P481" i="1"/>
  <c r="G481" i="1"/>
  <c r="P480" i="1"/>
  <c r="G480" i="1"/>
  <c r="P479" i="1"/>
  <c r="G479" i="1"/>
  <c r="P478" i="1"/>
  <c r="G478" i="1"/>
  <c r="P477" i="1"/>
  <c r="G477" i="1"/>
  <c r="P476" i="1"/>
  <c r="G476" i="1"/>
  <c r="P475" i="1"/>
  <c r="G475" i="1"/>
  <c r="P474" i="1"/>
  <c r="G474" i="1"/>
  <c r="P473" i="1"/>
  <c r="G473" i="1"/>
  <c r="P472" i="1"/>
  <c r="G472" i="1"/>
  <c r="P471" i="1"/>
  <c r="G471" i="1"/>
  <c r="P470" i="1"/>
  <c r="G470" i="1"/>
  <c r="P469" i="1"/>
  <c r="G469" i="1"/>
  <c r="P468" i="1"/>
  <c r="G468" i="1"/>
  <c r="P467" i="1"/>
  <c r="G467" i="1"/>
  <c r="P466" i="1"/>
  <c r="G466" i="1"/>
  <c r="P465" i="1"/>
  <c r="G465" i="1"/>
  <c r="P464" i="1"/>
  <c r="G464" i="1"/>
  <c r="P463" i="1"/>
  <c r="G463" i="1"/>
  <c r="P462" i="1"/>
  <c r="G462" i="1"/>
  <c r="P461" i="1"/>
  <c r="G461" i="1"/>
  <c r="P460" i="1"/>
  <c r="G460" i="1"/>
  <c r="P459" i="1"/>
  <c r="G459" i="1"/>
  <c r="P458" i="1"/>
  <c r="G458" i="1"/>
  <c r="P457" i="1"/>
  <c r="G457" i="1"/>
  <c r="P456" i="1"/>
  <c r="G456" i="1"/>
  <c r="P455" i="1"/>
  <c r="G455" i="1"/>
  <c r="P454" i="1"/>
  <c r="G454" i="1"/>
  <c r="P453" i="1"/>
  <c r="G453" i="1"/>
  <c r="P452" i="1"/>
  <c r="G452" i="1"/>
  <c r="P451" i="1"/>
  <c r="G451" i="1"/>
  <c r="P450" i="1"/>
  <c r="G450" i="1"/>
  <c r="P449" i="1"/>
  <c r="G449" i="1"/>
  <c r="P448" i="1"/>
  <c r="G448" i="1"/>
  <c r="P447" i="1"/>
  <c r="G447" i="1"/>
  <c r="P446" i="1"/>
  <c r="G446" i="1"/>
  <c r="P445" i="1"/>
  <c r="G445" i="1"/>
  <c r="P444" i="1"/>
  <c r="G444" i="1"/>
  <c r="P443" i="1"/>
  <c r="G443" i="1"/>
  <c r="P442" i="1"/>
  <c r="G442" i="1"/>
  <c r="P441" i="1"/>
  <c r="G441" i="1"/>
  <c r="P440" i="1"/>
  <c r="G440" i="1"/>
  <c r="P439" i="1"/>
  <c r="G439" i="1"/>
  <c r="P438" i="1"/>
  <c r="G438" i="1"/>
  <c r="P437" i="1"/>
  <c r="G437" i="1"/>
  <c r="P436" i="1"/>
  <c r="G436" i="1"/>
  <c r="P435" i="1"/>
  <c r="G435" i="1"/>
  <c r="P434" i="1"/>
  <c r="G434" i="1"/>
  <c r="P433" i="1"/>
  <c r="G433" i="1"/>
  <c r="P432" i="1"/>
  <c r="G432" i="1"/>
  <c r="P431" i="1"/>
  <c r="G431" i="1"/>
  <c r="P430" i="1"/>
  <c r="G430" i="1"/>
  <c r="P429" i="1"/>
  <c r="G429" i="1"/>
  <c r="P428" i="1"/>
  <c r="G428" i="1"/>
  <c r="P427" i="1"/>
  <c r="G427" i="1"/>
  <c r="P426" i="1"/>
  <c r="G426" i="1"/>
  <c r="P425" i="1"/>
  <c r="G425" i="1"/>
  <c r="P424" i="1"/>
  <c r="G424" i="1"/>
  <c r="P423" i="1"/>
  <c r="G423" i="1"/>
  <c r="P422" i="1"/>
  <c r="G422" i="1"/>
  <c r="P421" i="1"/>
  <c r="G421" i="1"/>
  <c r="P420" i="1"/>
  <c r="G420" i="1"/>
  <c r="P419" i="1"/>
  <c r="G419" i="1"/>
  <c r="P418" i="1"/>
  <c r="G418" i="1"/>
  <c r="P417" i="1"/>
  <c r="G417" i="1"/>
  <c r="P416" i="1"/>
  <c r="G416" i="1"/>
  <c r="P415" i="1"/>
  <c r="G415" i="1"/>
  <c r="P414" i="1"/>
  <c r="G414" i="1"/>
  <c r="P413" i="1"/>
  <c r="G413" i="1"/>
  <c r="P412" i="1"/>
  <c r="G412" i="1"/>
  <c r="P411" i="1"/>
  <c r="G411" i="1"/>
  <c r="P410" i="1"/>
  <c r="G410" i="1"/>
  <c r="P409" i="1"/>
  <c r="G409" i="1"/>
  <c r="P408" i="1"/>
  <c r="G408" i="1"/>
  <c r="P407" i="1"/>
  <c r="G407" i="1"/>
  <c r="P406" i="1"/>
  <c r="G406" i="1"/>
  <c r="P405" i="1"/>
  <c r="G405" i="1"/>
  <c r="P404" i="1"/>
  <c r="G404" i="1"/>
  <c r="P403" i="1"/>
  <c r="G403" i="1"/>
  <c r="P402" i="1"/>
  <c r="G402" i="1"/>
  <c r="P401" i="1"/>
  <c r="G401" i="1"/>
  <c r="P400" i="1"/>
  <c r="G400" i="1"/>
  <c r="P399" i="1"/>
  <c r="G399" i="1"/>
  <c r="P398" i="1"/>
  <c r="G398" i="1"/>
  <c r="P397" i="1"/>
  <c r="G397" i="1"/>
  <c r="P396" i="1"/>
  <c r="G396" i="1"/>
  <c r="P395" i="1"/>
  <c r="G395" i="1"/>
  <c r="P394" i="1"/>
  <c r="G394" i="1"/>
  <c r="P393" i="1"/>
  <c r="G393" i="1"/>
  <c r="P392" i="1"/>
  <c r="G392" i="1"/>
  <c r="P391" i="1"/>
  <c r="G391" i="1"/>
  <c r="P390" i="1"/>
  <c r="G390" i="1"/>
  <c r="P389" i="1"/>
  <c r="G389" i="1"/>
  <c r="P388" i="1"/>
  <c r="G388" i="1"/>
  <c r="P387" i="1"/>
  <c r="G387" i="1"/>
  <c r="P386" i="1"/>
  <c r="G386" i="1"/>
  <c r="P385" i="1"/>
  <c r="G385" i="1"/>
  <c r="P384" i="1"/>
  <c r="G384" i="1"/>
  <c r="P383" i="1"/>
  <c r="G383" i="1"/>
  <c r="P382" i="1"/>
  <c r="G382" i="1"/>
  <c r="P381" i="1"/>
  <c r="G381" i="1"/>
  <c r="P380" i="1"/>
  <c r="G380" i="1"/>
  <c r="P379" i="1"/>
  <c r="G379" i="1"/>
  <c r="P378" i="1"/>
  <c r="G378" i="1"/>
  <c r="P377" i="1"/>
  <c r="G377" i="1"/>
  <c r="P376" i="1"/>
  <c r="G376" i="1"/>
  <c r="P375" i="1"/>
  <c r="G375" i="1"/>
  <c r="P374" i="1"/>
  <c r="G374" i="1"/>
  <c r="P373" i="1"/>
  <c r="G373" i="1"/>
  <c r="P372" i="1"/>
  <c r="G372" i="1"/>
  <c r="P371" i="1"/>
  <c r="G371" i="1"/>
  <c r="P370" i="1"/>
  <c r="G370" i="1"/>
  <c r="P369" i="1"/>
  <c r="G369" i="1"/>
  <c r="P368" i="1"/>
  <c r="G368" i="1"/>
  <c r="P367" i="1"/>
  <c r="G367" i="1"/>
  <c r="P366" i="1"/>
  <c r="G366" i="1"/>
  <c r="P365" i="1"/>
  <c r="G365" i="1"/>
  <c r="P364" i="1"/>
  <c r="G364" i="1"/>
  <c r="P363" i="1"/>
  <c r="G363" i="1"/>
  <c r="P362" i="1"/>
  <c r="G362" i="1"/>
  <c r="P361" i="1"/>
  <c r="G361" i="1"/>
  <c r="P360" i="1"/>
  <c r="G360" i="1"/>
  <c r="P359" i="1"/>
  <c r="G359" i="1"/>
  <c r="P358" i="1"/>
  <c r="G358" i="1"/>
  <c r="P357" i="1"/>
  <c r="G357" i="1"/>
  <c r="P356" i="1"/>
  <c r="G356" i="1"/>
  <c r="P355" i="1"/>
  <c r="G355" i="1"/>
  <c r="P354" i="1"/>
  <c r="G354" i="1"/>
  <c r="P353" i="1"/>
  <c r="G353" i="1"/>
  <c r="P352" i="1"/>
  <c r="G352" i="1"/>
  <c r="P351" i="1"/>
  <c r="G351" i="1"/>
  <c r="P350" i="1"/>
  <c r="G350" i="1"/>
  <c r="P349" i="1"/>
  <c r="G349" i="1"/>
  <c r="P348" i="1"/>
  <c r="G348" i="1"/>
  <c r="P347" i="1"/>
  <c r="G347" i="1"/>
  <c r="P346" i="1"/>
  <c r="G346" i="1"/>
  <c r="P345" i="1"/>
  <c r="G345" i="1"/>
  <c r="P344" i="1"/>
  <c r="G344" i="1"/>
  <c r="P343" i="1"/>
  <c r="G343" i="1"/>
  <c r="P342" i="1"/>
  <c r="G342" i="1"/>
  <c r="P341" i="1"/>
  <c r="G341" i="1"/>
  <c r="P340" i="1"/>
  <c r="G340" i="1"/>
  <c r="P339" i="1"/>
  <c r="G339" i="1"/>
  <c r="P338" i="1"/>
  <c r="G338" i="1"/>
  <c r="P337" i="1"/>
  <c r="G337" i="1"/>
  <c r="P336" i="1"/>
  <c r="G336" i="1"/>
  <c r="P335" i="1"/>
  <c r="G335" i="1"/>
  <c r="P334" i="1"/>
  <c r="G334" i="1"/>
  <c r="P333" i="1"/>
  <c r="G333" i="1"/>
  <c r="P332" i="1"/>
  <c r="G332" i="1"/>
  <c r="P331" i="1"/>
  <c r="G331" i="1"/>
  <c r="P330" i="1"/>
  <c r="G330" i="1"/>
  <c r="P329" i="1"/>
  <c r="G329" i="1"/>
  <c r="P328" i="1"/>
  <c r="G328" i="1"/>
  <c r="P327" i="1"/>
  <c r="G327" i="1"/>
  <c r="P326" i="1"/>
  <c r="G326" i="1"/>
  <c r="P325" i="1"/>
  <c r="G325" i="1"/>
  <c r="P324" i="1"/>
  <c r="G324" i="1"/>
  <c r="P323" i="1"/>
  <c r="G323" i="1"/>
  <c r="P322" i="1"/>
  <c r="G322" i="1"/>
  <c r="P321" i="1"/>
  <c r="G321" i="1"/>
  <c r="P320" i="1"/>
  <c r="G320" i="1"/>
  <c r="P319" i="1"/>
  <c r="G319" i="1"/>
  <c r="P318" i="1"/>
  <c r="G318" i="1"/>
  <c r="P317" i="1"/>
  <c r="G317" i="1"/>
  <c r="P316" i="1"/>
  <c r="G316" i="1"/>
  <c r="P315" i="1"/>
  <c r="G315" i="1"/>
  <c r="P314" i="1"/>
  <c r="G314" i="1"/>
  <c r="P313" i="1"/>
  <c r="G313" i="1"/>
  <c r="P312" i="1"/>
  <c r="G312" i="1"/>
  <c r="P311" i="1"/>
  <c r="G311" i="1"/>
  <c r="P310" i="1"/>
  <c r="G310" i="1"/>
  <c r="P309" i="1"/>
  <c r="G309" i="1"/>
  <c r="P308" i="1"/>
  <c r="G308" i="1"/>
  <c r="P307" i="1"/>
  <c r="G307" i="1"/>
  <c r="P306" i="1"/>
  <c r="G306" i="1"/>
  <c r="P305" i="1"/>
  <c r="G305" i="1"/>
  <c r="P304" i="1"/>
  <c r="G304" i="1"/>
  <c r="P303" i="1"/>
  <c r="G303" i="1"/>
  <c r="P302" i="1"/>
  <c r="G302" i="1"/>
  <c r="P301" i="1"/>
  <c r="G301" i="1"/>
  <c r="P300" i="1"/>
  <c r="G300" i="1"/>
  <c r="P299" i="1"/>
  <c r="G299" i="1"/>
  <c r="P298" i="1"/>
  <c r="G298" i="1"/>
  <c r="P297" i="1"/>
  <c r="G297" i="1"/>
  <c r="P296" i="1"/>
  <c r="G296" i="1"/>
  <c r="P295" i="1"/>
  <c r="G295" i="1"/>
  <c r="P294" i="1"/>
  <c r="G294" i="1"/>
  <c r="P293" i="1"/>
  <c r="G293" i="1"/>
  <c r="P292" i="1"/>
  <c r="G292" i="1"/>
  <c r="P291" i="1"/>
  <c r="G291" i="1"/>
  <c r="P290" i="1"/>
  <c r="G290" i="1"/>
  <c r="P289" i="1"/>
  <c r="G289" i="1"/>
  <c r="P288" i="1"/>
  <c r="G288" i="1"/>
  <c r="P287" i="1"/>
  <c r="G287" i="1"/>
  <c r="P286" i="1"/>
  <c r="G286" i="1"/>
  <c r="P285" i="1"/>
  <c r="G285" i="1"/>
  <c r="P284" i="1"/>
  <c r="G284" i="1"/>
  <c r="P283" i="1"/>
  <c r="G283" i="1"/>
  <c r="P282" i="1"/>
  <c r="G282" i="1"/>
  <c r="P281" i="1"/>
  <c r="G281" i="1"/>
  <c r="P280" i="1"/>
  <c r="G280" i="1"/>
  <c r="P279" i="1"/>
  <c r="G279" i="1"/>
  <c r="P278" i="1"/>
  <c r="G278" i="1"/>
  <c r="P277" i="1"/>
  <c r="G277" i="1"/>
  <c r="P276" i="1"/>
  <c r="G276" i="1"/>
  <c r="P275" i="1"/>
  <c r="G275" i="1"/>
  <c r="P274" i="1"/>
  <c r="G274" i="1"/>
  <c r="P273" i="1"/>
  <c r="G273" i="1"/>
  <c r="P272" i="1"/>
  <c r="G272" i="1"/>
  <c r="P271" i="1"/>
  <c r="G271" i="1"/>
  <c r="P270" i="1"/>
  <c r="G270" i="1"/>
  <c r="P269" i="1"/>
  <c r="G269" i="1"/>
  <c r="P268" i="1"/>
  <c r="G268" i="1"/>
  <c r="P267" i="1"/>
  <c r="G267" i="1"/>
  <c r="P266" i="1"/>
  <c r="G266" i="1"/>
  <c r="P265" i="1"/>
  <c r="G265" i="1"/>
  <c r="P264" i="1"/>
  <c r="G264" i="1"/>
  <c r="P263" i="1"/>
  <c r="G263" i="1"/>
  <c r="P262" i="1"/>
  <c r="G262" i="1"/>
  <c r="P261" i="1"/>
  <c r="G261" i="1"/>
  <c r="P260" i="1"/>
  <c r="G260" i="1"/>
  <c r="P259" i="1"/>
  <c r="G259" i="1"/>
  <c r="P258" i="1"/>
  <c r="G258" i="1"/>
  <c r="P257" i="1"/>
  <c r="G257" i="1"/>
  <c r="P256" i="1"/>
  <c r="G256" i="1"/>
  <c r="P255" i="1"/>
  <c r="G255" i="1"/>
  <c r="P254" i="1"/>
  <c r="G254" i="1"/>
  <c r="P253" i="1"/>
  <c r="G253" i="1"/>
  <c r="P252" i="1"/>
  <c r="G252" i="1"/>
  <c r="P251" i="1"/>
  <c r="G251" i="1"/>
  <c r="P250" i="1"/>
  <c r="G250" i="1"/>
  <c r="P249" i="1"/>
  <c r="G249" i="1"/>
  <c r="P248" i="1"/>
  <c r="G248" i="1"/>
  <c r="P247" i="1"/>
  <c r="G247" i="1"/>
  <c r="P246" i="1"/>
  <c r="G246" i="1"/>
  <c r="P245" i="1"/>
  <c r="G245" i="1"/>
  <c r="P244" i="1"/>
  <c r="G244" i="1"/>
  <c r="P243" i="1"/>
  <c r="G243" i="1"/>
  <c r="P242" i="1"/>
  <c r="G242" i="1"/>
  <c r="P241" i="1"/>
  <c r="G241" i="1"/>
  <c r="P240" i="1"/>
  <c r="G240" i="1"/>
  <c r="P239" i="1"/>
  <c r="G239" i="1"/>
  <c r="P238" i="1"/>
  <c r="G238" i="1"/>
  <c r="P237" i="1"/>
  <c r="G237" i="1"/>
  <c r="P236" i="1"/>
  <c r="G236" i="1"/>
  <c r="P235" i="1"/>
  <c r="G235" i="1"/>
  <c r="P234" i="1"/>
  <c r="G234" i="1"/>
  <c r="P233" i="1"/>
  <c r="G233" i="1"/>
  <c r="P232" i="1"/>
  <c r="G232" i="1"/>
  <c r="P231" i="1"/>
  <c r="G231" i="1"/>
  <c r="P230" i="1"/>
  <c r="G230" i="1"/>
  <c r="P229" i="1"/>
  <c r="G229" i="1"/>
  <c r="P228" i="1"/>
  <c r="G228" i="1"/>
  <c r="P227" i="1"/>
  <c r="G227" i="1"/>
  <c r="P226" i="1"/>
  <c r="G226" i="1"/>
  <c r="P225" i="1"/>
  <c r="G225" i="1"/>
  <c r="P224" i="1"/>
  <c r="G224" i="1"/>
  <c r="P223" i="1"/>
  <c r="G223" i="1"/>
  <c r="P222" i="1"/>
  <c r="G222" i="1"/>
  <c r="P221" i="1"/>
  <c r="G221" i="1"/>
  <c r="P220" i="1"/>
  <c r="G220" i="1"/>
  <c r="P219" i="1"/>
  <c r="G219" i="1"/>
  <c r="P218" i="1"/>
  <c r="G218" i="1"/>
  <c r="P217" i="1"/>
  <c r="G217" i="1"/>
  <c r="P216" i="1"/>
  <c r="G216" i="1"/>
  <c r="P215" i="1"/>
  <c r="G215" i="1"/>
  <c r="P214" i="1"/>
  <c r="G214" i="1"/>
  <c r="P213" i="1"/>
  <c r="G213" i="1"/>
  <c r="P212" i="1"/>
  <c r="G212" i="1"/>
  <c r="P211" i="1"/>
  <c r="G211" i="1"/>
  <c r="P210" i="1"/>
  <c r="G210" i="1"/>
  <c r="P209" i="1"/>
  <c r="G209" i="1"/>
  <c r="P208" i="1"/>
  <c r="G208" i="1"/>
  <c r="P207" i="1"/>
  <c r="G207" i="1"/>
  <c r="P206" i="1"/>
  <c r="G206" i="1"/>
  <c r="P205" i="1"/>
  <c r="G205" i="1"/>
  <c r="P204" i="1"/>
  <c r="G204" i="1"/>
  <c r="P203" i="1"/>
  <c r="G203" i="1"/>
  <c r="P202" i="1"/>
  <c r="G202" i="1"/>
  <c r="P201" i="1"/>
  <c r="G201" i="1"/>
  <c r="P200" i="1"/>
  <c r="G200" i="1"/>
  <c r="P199" i="1"/>
  <c r="G199" i="1"/>
  <c r="P198" i="1"/>
  <c r="G198" i="1"/>
  <c r="P197" i="1"/>
  <c r="G197" i="1"/>
  <c r="P196" i="1"/>
  <c r="G196" i="1"/>
  <c r="P195" i="1"/>
  <c r="G195" i="1"/>
  <c r="P194" i="1"/>
  <c r="G194" i="1"/>
  <c r="P193" i="1"/>
  <c r="G193" i="1"/>
  <c r="P192" i="1"/>
  <c r="G192" i="1"/>
  <c r="P191" i="1"/>
  <c r="G191" i="1"/>
  <c r="P190" i="1"/>
  <c r="G190" i="1"/>
  <c r="P189" i="1"/>
  <c r="G189" i="1"/>
  <c r="P188" i="1"/>
  <c r="G188" i="1"/>
  <c r="P187" i="1"/>
  <c r="G187" i="1"/>
  <c r="P186" i="1"/>
  <c r="G186" i="1"/>
  <c r="P185" i="1"/>
  <c r="G185" i="1"/>
  <c r="P184" i="1"/>
  <c r="G184" i="1"/>
  <c r="P183" i="1"/>
  <c r="G183" i="1"/>
  <c r="P182" i="1"/>
  <c r="G182" i="1"/>
  <c r="P181" i="1"/>
  <c r="G181" i="1"/>
  <c r="P180" i="1"/>
  <c r="G180" i="1"/>
  <c r="P179" i="1"/>
  <c r="G179" i="1"/>
  <c r="P178" i="1"/>
  <c r="G178" i="1"/>
  <c r="P177" i="1"/>
  <c r="G177" i="1"/>
  <c r="P176" i="1"/>
  <c r="G176" i="1"/>
  <c r="P175" i="1"/>
  <c r="G175" i="1"/>
  <c r="P174" i="1"/>
  <c r="G174" i="1"/>
  <c r="P173" i="1"/>
  <c r="G173" i="1"/>
  <c r="P172" i="1"/>
  <c r="G172" i="1"/>
  <c r="P171" i="1"/>
  <c r="G171" i="1"/>
  <c r="P170" i="1"/>
  <c r="G170" i="1"/>
  <c r="P169" i="1"/>
  <c r="G169" i="1"/>
  <c r="P168" i="1"/>
  <c r="G168" i="1"/>
  <c r="P167" i="1"/>
  <c r="G167" i="1"/>
  <c r="P166" i="1"/>
  <c r="G166" i="1"/>
  <c r="P165" i="1"/>
  <c r="G165" i="1"/>
  <c r="P164" i="1"/>
  <c r="G164" i="1"/>
  <c r="P163" i="1"/>
  <c r="G163" i="1"/>
  <c r="P162" i="1"/>
  <c r="G162" i="1"/>
  <c r="P161" i="1"/>
  <c r="G161" i="1"/>
  <c r="P160" i="1"/>
  <c r="G160" i="1"/>
  <c r="P159" i="1"/>
  <c r="G159" i="1"/>
  <c r="P158" i="1"/>
  <c r="G158" i="1"/>
  <c r="P157" i="1"/>
  <c r="G157" i="1"/>
  <c r="P156" i="1"/>
  <c r="G156" i="1"/>
  <c r="P155" i="1"/>
  <c r="G155" i="1"/>
  <c r="P154" i="1"/>
  <c r="G154" i="1"/>
  <c r="P153" i="1"/>
  <c r="G153" i="1"/>
  <c r="P152" i="1"/>
  <c r="G152" i="1"/>
  <c r="P151" i="1"/>
  <c r="G151" i="1"/>
  <c r="P150" i="1"/>
  <c r="G150" i="1"/>
  <c r="P149" i="1"/>
  <c r="G149" i="1"/>
  <c r="P148" i="1"/>
  <c r="G148" i="1"/>
  <c r="P147" i="1"/>
  <c r="G147" i="1"/>
  <c r="P146" i="1"/>
  <c r="G146" i="1"/>
  <c r="P145" i="1"/>
  <c r="G145" i="1"/>
  <c r="P144" i="1"/>
  <c r="G144" i="1"/>
  <c r="P143" i="1"/>
  <c r="G143" i="1"/>
  <c r="P142" i="1"/>
  <c r="G142" i="1"/>
  <c r="P141" i="1"/>
  <c r="G141" i="1"/>
  <c r="P140" i="1"/>
  <c r="G140" i="1"/>
  <c r="P139" i="1"/>
  <c r="G139" i="1"/>
  <c r="P138" i="1"/>
  <c r="G138" i="1"/>
  <c r="P137" i="1"/>
  <c r="G137" i="1"/>
  <c r="P136" i="1"/>
  <c r="G136" i="1"/>
  <c r="P135" i="1"/>
  <c r="G135" i="1"/>
  <c r="P134" i="1"/>
  <c r="G134" i="1"/>
  <c r="P133" i="1"/>
  <c r="G133" i="1"/>
  <c r="P132" i="1"/>
  <c r="G132" i="1"/>
  <c r="P131" i="1"/>
  <c r="G131" i="1"/>
  <c r="P130" i="1"/>
  <c r="G130" i="1"/>
  <c r="P129" i="1"/>
  <c r="G129" i="1"/>
  <c r="P128" i="1"/>
  <c r="G128" i="1"/>
  <c r="P127" i="1"/>
  <c r="G127" i="1"/>
  <c r="P126" i="1"/>
  <c r="G126" i="1"/>
  <c r="P125" i="1"/>
  <c r="G125" i="1"/>
  <c r="P124" i="1"/>
  <c r="G124" i="1"/>
  <c r="P123" i="1"/>
  <c r="G123" i="1"/>
  <c r="P122" i="1"/>
  <c r="G122" i="1"/>
  <c r="P121" i="1"/>
  <c r="G121" i="1"/>
  <c r="P120" i="1"/>
  <c r="G120" i="1"/>
  <c r="P119" i="1"/>
  <c r="G119" i="1"/>
  <c r="P118" i="1"/>
  <c r="G118" i="1"/>
  <c r="P117" i="1"/>
  <c r="G117" i="1"/>
  <c r="P116" i="1"/>
  <c r="G116" i="1"/>
  <c r="P115" i="1"/>
  <c r="G115" i="1"/>
  <c r="P114" i="1"/>
  <c r="G114" i="1"/>
  <c r="P113" i="1"/>
  <c r="G113" i="1"/>
  <c r="P112" i="1"/>
  <c r="G112" i="1"/>
  <c r="P111" i="1"/>
  <c r="G111" i="1"/>
  <c r="P110" i="1"/>
  <c r="G110" i="1"/>
  <c r="P109" i="1"/>
  <c r="G109" i="1"/>
  <c r="P108" i="1"/>
  <c r="G108" i="1"/>
  <c r="P107" i="1"/>
  <c r="G107" i="1"/>
  <c r="P106" i="1"/>
  <c r="G106" i="1"/>
  <c r="P105" i="1"/>
  <c r="G105" i="1"/>
  <c r="P104" i="1"/>
  <c r="G104" i="1"/>
  <c r="P103" i="1"/>
  <c r="G103" i="1"/>
  <c r="P102" i="1"/>
  <c r="G102" i="1"/>
  <c r="P101" i="1"/>
  <c r="G101" i="1"/>
  <c r="P100" i="1"/>
  <c r="G100" i="1"/>
  <c r="P99" i="1"/>
  <c r="G99" i="1"/>
  <c r="P98" i="1"/>
  <c r="G98" i="1"/>
  <c r="P97" i="1"/>
  <c r="G97" i="1"/>
  <c r="P96" i="1"/>
  <c r="G96" i="1"/>
  <c r="P95" i="1"/>
  <c r="G95" i="1"/>
  <c r="P94" i="1"/>
  <c r="G94" i="1"/>
  <c r="P93" i="1"/>
  <c r="G93" i="1"/>
  <c r="P92" i="1"/>
  <c r="G92" i="1"/>
  <c r="P91" i="1"/>
  <c r="G91" i="1"/>
  <c r="P90" i="1"/>
  <c r="G90" i="1"/>
  <c r="P89" i="1"/>
  <c r="G89" i="1"/>
  <c r="P88" i="1"/>
  <c r="G88" i="1"/>
  <c r="P87" i="1"/>
  <c r="G87" i="1"/>
  <c r="P86" i="1"/>
  <c r="G86" i="1"/>
  <c r="P85" i="1"/>
  <c r="G85" i="1"/>
  <c r="P84" i="1"/>
  <c r="G84" i="1"/>
  <c r="P83" i="1"/>
  <c r="G83" i="1"/>
  <c r="P82" i="1"/>
  <c r="G82" i="1"/>
  <c r="P81" i="1"/>
  <c r="G81" i="1"/>
  <c r="P80" i="1"/>
  <c r="G80" i="1"/>
  <c r="P79" i="1"/>
  <c r="G79" i="1"/>
  <c r="P78" i="1"/>
  <c r="G78" i="1"/>
  <c r="P77" i="1"/>
  <c r="G77" i="1"/>
  <c r="P76" i="1"/>
  <c r="G76" i="1"/>
  <c r="P75" i="1"/>
  <c r="G75" i="1"/>
  <c r="P74" i="1"/>
  <c r="G74" i="1"/>
  <c r="P73" i="1"/>
  <c r="G73" i="1"/>
  <c r="P72" i="1"/>
  <c r="G72" i="1"/>
  <c r="P71" i="1"/>
  <c r="G71" i="1"/>
  <c r="P70" i="1"/>
  <c r="G70" i="1"/>
  <c r="P69" i="1"/>
  <c r="G69" i="1"/>
  <c r="P68" i="1"/>
  <c r="G68" i="1"/>
  <c r="P67" i="1"/>
  <c r="G67" i="1"/>
  <c r="P66" i="1"/>
  <c r="G66" i="1"/>
  <c r="P65" i="1"/>
  <c r="G65" i="1"/>
  <c r="P64" i="1"/>
  <c r="G64" i="1"/>
  <c r="P63" i="1"/>
  <c r="G63" i="1"/>
  <c r="P62" i="1"/>
  <c r="G62" i="1"/>
  <c r="P61" i="1"/>
  <c r="G61" i="1"/>
  <c r="P60" i="1"/>
  <c r="G60" i="1"/>
  <c r="P59" i="1"/>
  <c r="G59" i="1"/>
  <c r="P58" i="1"/>
  <c r="G58" i="1"/>
  <c r="P57" i="1"/>
  <c r="G57" i="1"/>
  <c r="P56" i="1"/>
  <c r="G56" i="1"/>
  <c r="P55" i="1"/>
  <c r="G55" i="1"/>
  <c r="P54" i="1"/>
  <c r="G54" i="1"/>
  <c r="P53" i="1"/>
  <c r="G53" i="1"/>
  <c r="P52" i="1"/>
  <c r="G52" i="1"/>
  <c r="P51" i="1"/>
  <c r="G51" i="1"/>
  <c r="P50" i="1"/>
  <c r="G50" i="1"/>
  <c r="P49" i="1"/>
  <c r="G49" i="1"/>
  <c r="P48" i="1"/>
  <c r="G48" i="1"/>
  <c r="P47" i="1"/>
  <c r="G47" i="1"/>
  <c r="P46" i="1"/>
  <c r="G46" i="1"/>
  <c r="P45" i="1"/>
  <c r="G45" i="1"/>
  <c r="P44" i="1"/>
  <c r="G44" i="1"/>
  <c r="P43" i="1"/>
  <c r="G43" i="1"/>
  <c r="P42" i="1"/>
  <c r="G42" i="1"/>
  <c r="P41" i="1"/>
  <c r="G41" i="1"/>
  <c r="P40" i="1"/>
  <c r="G40" i="1"/>
  <c r="P39" i="1"/>
  <c r="G39" i="1"/>
  <c r="P38" i="1"/>
  <c r="G38" i="1"/>
  <c r="P37" i="1"/>
  <c r="G37" i="1"/>
  <c r="P36" i="1"/>
  <c r="G36" i="1"/>
  <c r="P35" i="1"/>
  <c r="G35" i="1"/>
  <c r="P34" i="1"/>
  <c r="G34" i="1"/>
  <c r="P33" i="1"/>
  <c r="G33" i="1"/>
  <c r="P32" i="1"/>
  <c r="G32" i="1"/>
  <c r="P31" i="1"/>
  <c r="G31" i="1"/>
  <c r="P30" i="1"/>
  <c r="G30" i="1"/>
  <c r="P29" i="1"/>
  <c r="G29" i="1"/>
  <c r="P28" i="1"/>
  <c r="G28" i="1"/>
  <c r="P27" i="1"/>
  <c r="G27" i="1"/>
  <c r="P26" i="1"/>
  <c r="G26" i="1"/>
  <c r="P25" i="1"/>
  <c r="G25" i="1"/>
  <c r="P24" i="1"/>
  <c r="G24" i="1"/>
  <c r="P23" i="1"/>
  <c r="G23" i="1"/>
  <c r="P22" i="1"/>
  <c r="G22" i="1"/>
  <c r="P21" i="1"/>
  <c r="G21" i="1"/>
  <c r="P20" i="1"/>
  <c r="G20" i="1"/>
  <c r="P19" i="1"/>
  <c r="G19" i="1"/>
  <c r="P18" i="1"/>
  <c r="G18" i="1"/>
  <c r="P17" i="1"/>
  <c r="G17" i="1"/>
  <c r="P16" i="1"/>
  <c r="G16" i="1"/>
  <c r="P15" i="1"/>
  <c r="G15" i="1"/>
  <c r="P14" i="1"/>
  <c r="G14" i="1"/>
  <c r="P13" i="1"/>
  <c r="G13" i="1"/>
  <c r="P12" i="1"/>
  <c r="G12" i="1"/>
  <c r="P11" i="1"/>
  <c r="G11" i="1"/>
  <c r="P10" i="1"/>
  <c r="G10" i="1"/>
  <c r="P9" i="1"/>
  <c r="G9" i="1"/>
  <c r="P8" i="1"/>
  <c r="G8" i="1"/>
  <c r="P7" i="1"/>
  <c r="G7" i="1"/>
  <c r="P6" i="1"/>
  <c r="G6" i="1"/>
  <c r="P5" i="1"/>
  <c r="G5" i="1"/>
  <c r="P4" i="1"/>
  <c r="G4" i="1"/>
  <c r="P3" i="1"/>
  <c r="G3" i="1"/>
  <c r="P2" i="1"/>
  <c r="G2" i="1"/>
</calcChain>
</file>

<file path=xl/sharedStrings.xml><?xml version="1.0" encoding="utf-8"?>
<sst xmlns="http://schemas.openxmlformats.org/spreadsheetml/2006/main" count="12063" uniqueCount="1597">
  <si>
    <t>ID_Paciente</t>
  </si>
  <si>
    <t>Data_Admissao</t>
  </si>
  <si>
    <t>Idade</t>
  </si>
  <si>
    <t>Genero</t>
  </si>
  <si>
    <t>Peso_kg</t>
  </si>
  <si>
    <t>Altura_cm</t>
  </si>
  <si>
    <t>IMC</t>
  </si>
  <si>
    <t>Departamento</t>
  </si>
  <si>
    <t>Diagnostico</t>
  </si>
  <si>
    <t>Pressao_Sistolica</t>
  </si>
  <si>
    <t>Pressao_Diastolica</t>
  </si>
  <si>
    <t>Glicemia_mgdl</t>
  </si>
  <si>
    <t>Dias_Internamento</t>
  </si>
  <si>
    <t>Custo_Tratamento_MT</t>
  </si>
  <si>
    <t>Provincia</t>
  </si>
  <si>
    <t>Hospital</t>
  </si>
  <si>
    <t>Estado_Alta</t>
  </si>
  <si>
    <t>Satisfacao_1a5</t>
  </si>
  <si>
    <t>Hospital_Referencia</t>
  </si>
  <si>
    <t>P00001</t>
  </si>
  <si>
    <t>Masculino</t>
  </si>
  <si>
    <t>Cardiologia</t>
  </si>
  <si>
    <t>Hipertensao</t>
  </si>
  <si>
    <t>Maputo Cidade</t>
  </si>
  <si>
    <t>Alta</t>
  </si>
  <si>
    <t>Hospital Central de Maputo</t>
  </si>
  <si>
    <t>P00002</t>
  </si>
  <si>
    <t>Feminino</t>
  </si>
  <si>
    <t>Pediatria</t>
  </si>
  <si>
    <t>Malaria</t>
  </si>
  <si>
    <t>Inhambane</t>
  </si>
  <si>
    <t>Maputo Provincia</t>
  </si>
  <si>
    <t>Hospital Provincial da Matola</t>
  </si>
  <si>
    <t>P00003</t>
  </si>
  <si>
    <t>Doencas_Infecciosas</t>
  </si>
  <si>
    <t>Esquistossomose</t>
  </si>
  <si>
    <t>Niassa</t>
  </si>
  <si>
    <t>Internado</t>
  </si>
  <si>
    <t>Gaza</t>
  </si>
  <si>
    <t>Hospital Provincial de Xai-Xai</t>
  </si>
  <si>
    <t>P00004</t>
  </si>
  <si>
    <t>Neurologia</t>
  </si>
  <si>
    <t>Epilepsia</t>
  </si>
  <si>
    <t>Sofala</t>
  </si>
  <si>
    <t>Hospital Provincial de Inhambane</t>
  </si>
  <si>
    <t>P00005</t>
  </si>
  <si>
    <t>Urgencia</t>
  </si>
  <si>
    <t>Malaria Grave</t>
  </si>
  <si>
    <t>Hospital Central da Beira</t>
  </si>
  <si>
    <t>P00006</t>
  </si>
  <si>
    <t>Pneumonia</t>
  </si>
  <si>
    <t>Zambezia</t>
  </si>
  <si>
    <t>Manica</t>
  </si>
  <si>
    <t>Hospital Provincial de Chimoio</t>
  </si>
  <si>
    <t>P00007</t>
  </si>
  <si>
    <t>Oncologia</t>
  </si>
  <si>
    <t>Linfoma</t>
  </si>
  <si>
    <t>Tete</t>
  </si>
  <si>
    <t>Hospital Provincial de Tete</t>
  </si>
  <si>
    <t>P00008</t>
  </si>
  <si>
    <t>Hospital Central de Quelimane</t>
  </si>
  <si>
    <t>P00009</t>
  </si>
  <si>
    <t>Sarcoma de Kaposi</t>
  </si>
  <si>
    <t>Nampula</t>
  </si>
  <si>
    <t>Hospital Central de Nampula</t>
  </si>
  <si>
    <t>P00010</t>
  </si>
  <si>
    <t>Trauma</t>
  </si>
  <si>
    <t>Cabo Delgado</t>
  </si>
  <si>
    <t>Hospital Provincial de Pemba</t>
  </si>
  <si>
    <t>P00011</t>
  </si>
  <si>
    <t>Insuficiencia Cardiaca</t>
  </si>
  <si>
    <t>Hospital Provincial de Lichinga</t>
  </si>
  <si>
    <t>P00012</t>
  </si>
  <si>
    <t>Diarreia Aguda</t>
  </si>
  <si>
    <t>P00013</t>
  </si>
  <si>
    <t>Desnutricao Aguda</t>
  </si>
  <si>
    <t>Transferido</t>
  </si>
  <si>
    <t>P00014</t>
  </si>
  <si>
    <t>P00015</t>
  </si>
  <si>
    <t>P00016</t>
  </si>
  <si>
    <t>Cancro do Colo do Utero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</si>
  <si>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</si>
  <si>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</si>
  <si>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</si>
  <si>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</si>
  <si>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</si>
  <si>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</si>
  <si>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</si>
  <si>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</si>
  <si>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Enfarte Agudo</t>
  </si>
  <si>
    <t>P00025</t>
  </si>
  <si>
    <t>Ortopedia</t>
  </si>
  <si>
    <t>Fratura</t>
  </si>
  <si>
    <t>P00026</t>
  </si>
  <si>
    <t>Colera</t>
  </si>
  <si>
    <t>P00027</t>
  </si>
  <si>
    <t>P00028</t>
  </si>
  <si>
    <t>P00029</t>
  </si>
  <si>
    <t>P00030</t>
  </si>
  <si>
    <t>Ginecologia</t>
  </si>
  <si>
    <t>Miomas</t>
  </si>
  <si>
    <t>P00031</t>
  </si>
  <si>
    <t>P00032</t>
  </si>
  <si>
    <t>Complicacoes Obstetricas</t>
  </si>
  <si>
    <t>P00033</t>
  </si>
  <si>
    <t>Gravidez</t>
  </si>
  <si>
    <t>P00034</t>
  </si>
  <si>
    <t>P00035</t>
  </si>
  <si>
    <t>Febre Tifoide</t>
  </si>
  <si>
    <t>P00036</t>
  </si>
  <si>
    <t>Entorse</t>
  </si>
  <si>
    <t>P00037</t>
  </si>
  <si>
    <t>P00038</t>
  </si>
  <si>
    <t>AVC</t>
  </si>
  <si>
    <t>P00039</t>
  </si>
  <si>
    <t>P00040</t>
  </si>
  <si>
    <t>Luxacao</t>
  </si>
  <si>
    <t>P00041</t>
  </si>
  <si>
    <t>P00042</t>
  </si>
  <si>
    <t>P00043</t>
  </si>
  <si>
    <t>P00044</t>
  </si>
  <si>
    <t>P00045</t>
  </si>
  <si>
    <t>P00046</t>
  </si>
  <si>
    <t>Arritmia</t>
  </si>
  <si>
    <t>P00047</t>
  </si>
  <si>
    <t>P00048</t>
  </si>
  <si>
    <t>Hepatite B</t>
  </si>
  <si>
    <t>P00049</t>
  </si>
  <si>
    <t>HIV/SIDA</t>
  </si>
  <si>
    <t>P00050</t>
  </si>
  <si>
    <t>P00051</t>
  </si>
  <si>
    <t>Tendinite</t>
  </si>
  <si>
    <t>P00052</t>
  </si>
  <si>
    <t>P00053</t>
  </si>
  <si>
    <t>P00054</t>
  </si>
  <si>
    <t>P00055</t>
  </si>
  <si>
    <t>P00056</t>
  </si>
  <si>
    <t>P00057</t>
  </si>
  <si>
    <t>Tuberculose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</si>
  <si>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</si>
  <si>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</si>
  <si>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</si>
  <si>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</si>
  <si>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</si>
  <si>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</si>
  <si>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</si>
  <si>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</si>
  <si>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</si>
  <si>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</si>
  <si>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</si>
  <si>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</si>
  <si>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Infecao Urinaria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</si>
  <si>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</si>
  <si>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</si>
  <si>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</si>
  <si>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</si>
  <si>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</si>
  <si>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</si>
  <si>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</si>
  <si>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</si>
  <si>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</si>
  <si>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Enxaqueca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</si>
  <si>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</si>
  <si>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</si>
  <si>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</si>
  <si>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</si>
  <si>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</si>
  <si>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</si>
  <si>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</si>
  <si>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</si>
  <si>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</si>
  <si>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</si>
  <si>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</si>
  <si>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</si>
  <si>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</si>
  <si>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</si>
  <si>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</si>
  <si>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</si>
  <si>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</si>
  <si>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</si>
  <si>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</si>
  <si>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</si>
  <si>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</si>
  <si>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</si>
  <si>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</si>
  <si>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</si>
  <si>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</si>
  <si>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</si>
  <si>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</si>
  <si>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</si>
  <si>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</si>
  <si>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</si>
  <si>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</si>
  <si>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</si>
  <si>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</si>
  <si>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</si>
  <si>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</si>
  <si>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Cancro da Mama</t>
  </si>
  <si>
    <t>P00114</t>
  </si>
  <si>
    <t>P00115</t>
  </si>
  <si>
    <t>P00116</t>
  </si>
  <si>
    <t>P00117</t>
  </si>
  <si>
    <t>Obito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</si>
  <si>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</si>
  <si>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</si>
  <si>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</si>
  <si>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</si>
  <si>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</si>
  <si>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</si>
  <si>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</si>
  <si>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</si>
  <si>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</si>
  <si>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</si>
  <si>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</si>
  <si>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</si>
  <si>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</si>
  <si>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</si>
  <si>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Meningite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</si>
  <si>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</si>
  <si>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</si>
  <si>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</si>
  <si>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</si>
  <si>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</si>
  <si>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</si>
  <si>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</si>
  <si>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</si>
  <si>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</si>
  <si>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</si>
  <si>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</si>
  <si>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</si>
  <si>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</si>
  <si>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</si>
  <si>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</si>
  <si>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</si>
  <si>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</si>
  <si>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</si>
  <si>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</si>
  <si>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</si>
  <si>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</si>
  <si>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</si>
  <si>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</si>
  <si>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</si>
  <si>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</si>
  <si>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</si>
  <si>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</si>
  <si>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</si>
  <si>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</si>
  <si>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</si>
  <si>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</si>
  <si>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</si>
  <si>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</si>
  <si>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</si>
  <si>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</si>
  <si>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</si>
  <si>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</si>
  <si>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</si>
  <si>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</si>
  <si>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</si>
  <si>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</si>
  <si>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</si>
  <si>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</si>
  <si>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</si>
  <si>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</si>
  <si>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</si>
  <si>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</si>
  <si>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</si>
  <si>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</si>
  <si>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</si>
  <si>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</si>
  <si>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</si>
  <si>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</si>
  <si>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</si>
  <si>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</si>
  <si>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</si>
  <si>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</si>
  <si>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</si>
  <si>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</si>
  <si>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</si>
  <si>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</si>
  <si>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</si>
  <si>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</si>
  <si>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</si>
  <si>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</si>
  <si>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</si>
  <si>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</si>
  <si>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</si>
  <si>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</si>
  <si>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</si>
  <si>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</si>
  <si>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</si>
  <si>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</si>
  <si>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</si>
  <si>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</si>
  <si>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</si>
  <si>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</si>
  <si>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</si>
  <si>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</si>
  <si>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</si>
  <si>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</si>
  <si>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</si>
  <si>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</si>
  <si>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</si>
  <si>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</si>
  <si>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</si>
  <si>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</si>
  <si>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</si>
  <si>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</si>
  <si>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</si>
  <si>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</si>
  <si>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</si>
  <si>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</si>
  <si>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</si>
  <si>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</si>
  <si>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</si>
  <si>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</si>
  <si>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</si>
  <si>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</si>
  <si>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</si>
  <si>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</si>
  <si>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</si>
  <si>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</si>
  <si>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</si>
  <si>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</si>
  <si>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</si>
  <si>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</si>
  <si>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</si>
  <si>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</si>
  <si>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</si>
  <si>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</si>
  <si>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</si>
  <si>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</si>
  <si>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</si>
  <si>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</si>
  <si>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</si>
  <si>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</si>
  <si>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</si>
  <si>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</si>
  <si>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</si>
  <si>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</si>
  <si>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</si>
  <si>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</si>
  <si>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</si>
  <si>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</si>
  <si>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</si>
  <si>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</si>
  <si>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</si>
  <si>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</si>
  <si>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</si>
  <si>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</si>
  <si>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</si>
  <si>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</si>
  <si>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</si>
  <si>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</si>
  <si>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</si>
  <si>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</si>
  <si>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</si>
  <si>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</si>
  <si>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</si>
  <si>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</si>
  <si>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</si>
  <si>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</si>
  <si>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</si>
  <si>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</si>
  <si>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</si>
  <si>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</si>
  <si>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</si>
  <si>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</si>
  <si>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</si>
  <si>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</si>
  <si>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</si>
  <si>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</si>
  <si>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</si>
  <si>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</si>
  <si>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</si>
  <si>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</si>
  <si>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</si>
  <si>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</si>
  <si>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</si>
  <si>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</si>
  <si>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</si>
  <si>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</si>
  <si>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</si>
  <si>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</si>
  <si>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</si>
  <si>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</si>
  <si>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</si>
  <si>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</si>
  <si>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</si>
  <si>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</si>
  <si>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</si>
  <si>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</si>
  <si>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</si>
  <si>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</si>
  <si>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</si>
  <si>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</si>
  <si>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</si>
  <si>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</si>
  <si>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</si>
  <si>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</si>
  <si>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</si>
  <si>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</si>
  <si>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</si>
  <si>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</si>
  <si>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</si>
  <si>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</si>
  <si>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</si>
  <si>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</si>
  <si>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</si>
  <si>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</si>
  <si>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</si>
  <si>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</si>
  <si>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</si>
  <si>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</si>
  <si>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</si>
  <si>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</si>
  <si>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</si>
  <si>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</si>
  <si>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</si>
  <si>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</si>
  <si>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</si>
  <si>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</si>
  <si>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</si>
  <si>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</si>
  <si>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</si>
  <si>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</si>
  <si>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</si>
  <si>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</si>
  <si>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</si>
  <si>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</si>
  <si>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</si>
  <si>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</si>
  <si>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</si>
  <si>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</si>
  <si>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</si>
  <si>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</si>
  <si>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</si>
  <si>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</si>
  <si>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</si>
  <si>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</si>
  <si>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</si>
  <si>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</si>
  <si>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</si>
  <si>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</si>
  <si>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</si>
  <si>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</si>
  <si>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</si>
  <si>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</si>
  <si>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</si>
  <si>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</si>
  <si>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</si>
  <si>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</si>
  <si>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</si>
  <si>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</si>
  <si>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</si>
  <si>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</si>
  <si>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</si>
  <si>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</si>
  <si>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</si>
  <si>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</si>
  <si>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</si>
  <si>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</si>
  <si>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</si>
  <si>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</si>
  <si>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</si>
  <si>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</si>
  <si>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</si>
  <si>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</si>
  <si>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</si>
  <si>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</si>
  <si>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</si>
  <si>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</si>
  <si>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</si>
  <si>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</si>
  <si>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</si>
  <si>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</si>
  <si>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</si>
  <si>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</si>
  <si>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</si>
  <si>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</si>
  <si>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</si>
  <si>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</si>
  <si>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</si>
  <si>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</si>
  <si>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</si>
  <si>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</si>
  <si>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</si>
  <si>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</si>
  <si>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</si>
  <si>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</si>
  <si>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</si>
  <si>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</si>
  <si>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</si>
  <si>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</si>
  <si>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</si>
  <si>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</si>
  <si>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</si>
  <si>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</si>
  <si>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</si>
  <si>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</si>
  <si>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</si>
  <si>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</si>
  <si>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</si>
  <si>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</si>
  <si>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</si>
  <si>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</si>
  <si>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</si>
  <si>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</si>
  <si>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</si>
  <si>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</si>
  <si>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</si>
  <si>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</si>
  <si>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</si>
  <si>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</si>
  <si>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</si>
  <si>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</si>
  <si>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</si>
  <si>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</si>
  <si>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</si>
  <si>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</si>
  <si>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</si>
  <si>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</si>
  <si>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</si>
  <si>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</si>
  <si>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</si>
  <si>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</si>
  <si>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</si>
  <si>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</si>
  <si>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</si>
  <si>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</si>
  <si>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</si>
  <si>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</si>
  <si>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</si>
  <si>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</si>
  <si>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</si>
  <si>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</si>
  <si>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</si>
  <si>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</si>
  <si>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</si>
  <si>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</si>
  <si>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</si>
  <si>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</si>
  <si>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</si>
  <si>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</si>
  <si>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</si>
  <si>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</si>
  <si>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</si>
  <si>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</si>
  <si>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</si>
  <si>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</si>
  <si>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</si>
  <si>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</si>
  <si>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</si>
  <si>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</si>
  <si>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</si>
  <si>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</si>
  <si>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</si>
  <si>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</si>
  <si>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</si>
  <si>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</si>
  <si>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</si>
  <si>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</si>
  <si>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</si>
  <si>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</si>
  <si>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</si>
  <si>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</si>
  <si>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</si>
  <si>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</si>
  <si>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</si>
  <si>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</si>
  <si>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</si>
  <si>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</si>
  <si>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</si>
  <si>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</si>
  <si>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</si>
  <si>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</si>
  <si>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</si>
  <si>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</si>
  <si>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</si>
  <si>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</si>
  <si>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</si>
  <si>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</si>
  <si>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</si>
  <si>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</si>
  <si>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</si>
  <si>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</si>
  <si>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</si>
  <si>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</si>
  <si>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</si>
  <si>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</si>
  <si>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</si>
  <si>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</si>
  <si>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</si>
  <si>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</si>
  <si>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</si>
  <si>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</si>
  <si>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</si>
  <si>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</si>
  <si>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</si>
  <si>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</si>
  <si>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</si>
  <si>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</si>
  <si>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</si>
  <si>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</si>
  <si>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</si>
  <si>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</si>
  <si>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</si>
  <si>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</si>
  <si>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</si>
  <si>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</si>
  <si>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</si>
  <si>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</si>
  <si>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</si>
  <si>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</si>
  <si>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</si>
  <si>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</si>
  <si>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</si>
  <si>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</si>
  <si>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</si>
  <si>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</si>
  <si>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</si>
  <si>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</si>
  <si>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</si>
  <si>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</si>
  <si>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</si>
  <si>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</si>
  <si>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</si>
  <si>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</si>
  <si>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</si>
  <si>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</si>
  <si>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</si>
  <si>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</si>
  <si>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</si>
  <si>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</si>
  <si>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</si>
  <si>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</si>
  <si>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</si>
  <si>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</si>
  <si>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</si>
  <si>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</si>
  <si>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</si>
  <si>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</si>
  <si>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</si>
  <si>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</si>
  <si>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</si>
  <si>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</si>
  <si>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</si>
  <si>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</si>
  <si>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</si>
  <si>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</si>
  <si>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</si>
  <si>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</si>
  <si>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</si>
  <si>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</si>
  <si>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</si>
  <si>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</si>
  <si>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</si>
  <si>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</si>
  <si>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</si>
  <si>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</si>
  <si>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</si>
  <si>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</si>
  <si>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</si>
  <si>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</si>
  <si>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</si>
  <si>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</si>
  <si>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</si>
  <si>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</si>
  <si>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</si>
  <si>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</si>
  <si>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</si>
  <si>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</si>
  <si>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</si>
  <si>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</si>
  <si>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</si>
  <si>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</si>
  <si>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</si>
  <si>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</si>
  <si>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</si>
  <si>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</si>
  <si>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</si>
  <si>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</si>
  <si>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</si>
  <si>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</si>
  <si>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</si>
  <si>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</si>
  <si>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</si>
  <si>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</si>
  <si>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</si>
  <si>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</si>
  <si>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</si>
  <si>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</si>
  <si>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</si>
  <si>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</si>
  <si>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</si>
  <si>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</si>
  <si>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</si>
  <si>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</si>
  <si>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</si>
  <si>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</si>
  <si>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</si>
  <si>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</si>
  <si>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</si>
  <si>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</si>
  <si>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</si>
  <si>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</si>
  <si>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</si>
  <si>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</si>
  <si>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</si>
  <si>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</si>
  <si>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</si>
  <si>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</si>
  <si>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</si>
  <si>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</si>
  <si>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</si>
  <si>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</si>
  <si>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</si>
  <si>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</si>
  <si>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</si>
  <si>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</si>
  <si>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</si>
  <si>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</si>
  <si>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</si>
  <si>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</si>
  <si>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</si>
  <si>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</si>
  <si>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</si>
  <si>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</si>
  <si>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</si>
  <si>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</si>
  <si>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</si>
  <si>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</si>
  <si>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</si>
  <si>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</si>
  <si>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</si>
  <si>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</si>
  <si>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</si>
  <si>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</si>
  <si>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</si>
  <si>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</si>
  <si>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</si>
  <si>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</si>
  <si>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</si>
  <si>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</si>
  <si>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</si>
  <si>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</si>
  <si>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</si>
  <si>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</si>
  <si>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</si>
  <si>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</si>
  <si>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</si>
  <si>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</si>
  <si>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</si>
  <si>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</si>
  <si>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</si>
  <si>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</si>
  <si>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</si>
  <si>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</si>
  <si>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</si>
  <si>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</si>
  <si>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</si>
  <si>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</si>
  <si>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</si>
  <si>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</si>
  <si>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</si>
  <si>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</si>
  <si>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</si>
  <si>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</si>
  <si>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</si>
  <si>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</si>
  <si>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</si>
  <si>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</si>
  <si>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</si>
  <si>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</si>
  <si>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</si>
  <si>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</si>
  <si>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</si>
  <si>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</si>
  <si>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</si>
  <si>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</si>
  <si>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</si>
  <si>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</si>
  <si>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</si>
  <si>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</si>
  <si>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</si>
  <si>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</si>
  <si>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</si>
  <si>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</si>
  <si>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</si>
  <si>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</si>
  <si>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</si>
  <si>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</si>
  <si>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</si>
  <si>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</si>
  <si>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</si>
  <si>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</si>
  <si>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</si>
  <si>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</si>
  <si>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</si>
  <si>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</si>
  <si>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</si>
  <si>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</si>
  <si>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</si>
  <si>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</si>
  <si>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</si>
  <si>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</si>
  <si>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</si>
  <si>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</si>
  <si>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</si>
  <si>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</si>
  <si>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</si>
  <si>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</si>
  <si>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</si>
  <si>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</si>
  <si>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</si>
  <si>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</si>
  <si>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</si>
  <si>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</si>
  <si>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</si>
  <si>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</si>
  <si>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</si>
  <si>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</si>
  <si>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</si>
  <si>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</si>
  <si>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</si>
  <si>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</si>
  <si>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</si>
  <si>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</si>
  <si>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</si>
  <si>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</si>
  <si>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</si>
  <si>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</si>
  <si>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</si>
  <si>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</si>
  <si>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</si>
  <si>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</si>
  <si>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</si>
  <si>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</si>
  <si>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</si>
  <si>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</si>
  <si>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</si>
  <si>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</si>
  <si>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</si>
  <si>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</si>
  <si>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</si>
  <si>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</si>
  <si>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</si>
  <si>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</si>
  <si>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</si>
  <si>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</si>
  <si>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</si>
  <si>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</si>
  <si>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</si>
  <si>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</si>
  <si>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</si>
  <si>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</si>
  <si>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</si>
  <si>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</si>
  <si>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</si>
  <si>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</si>
  <si>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</si>
  <si>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</si>
  <si>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</si>
  <si>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</si>
  <si>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</si>
  <si>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</si>
  <si>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</si>
  <si>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</si>
  <si>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</si>
  <si>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</si>
  <si>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</si>
  <si>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</si>
  <si>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</si>
  <si>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</si>
  <si>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</si>
  <si>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</si>
  <si>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</si>
  <si>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</si>
  <si>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</si>
  <si>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</si>
  <si>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</si>
  <si>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</si>
  <si>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</si>
  <si>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</si>
  <si>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</si>
  <si>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</si>
  <si>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</si>
  <si>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</si>
  <si>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</si>
  <si>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</si>
  <si>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</si>
  <si>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</si>
  <si>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</si>
  <si>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</si>
  <si>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</si>
  <si>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</si>
  <si>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</si>
  <si>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</si>
  <si>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</si>
  <si>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</si>
  <si>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</si>
  <si>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</si>
  <si>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</si>
  <si>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</si>
  <si>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</si>
  <si>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</si>
  <si>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</si>
  <si>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</si>
  <si>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</si>
  <si>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</si>
  <si>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</si>
  <si>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</si>
  <si>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</si>
  <si>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</si>
  <si>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</si>
  <si>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</si>
  <si>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</si>
  <si>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</si>
  <si>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</si>
  <si>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</si>
  <si>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</si>
  <si>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</si>
  <si>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</si>
  <si>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</si>
  <si>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</si>
  <si>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</si>
  <si>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</si>
  <si>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</si>
  <si>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</si>
  <si>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</si>
  <si>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</si>
  <si>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</si>
  <si>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</si>
  <si>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</si>
  <si>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</si>
  <si>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</si>
  <si>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</si>
  <si>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</si>
  <si>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</si>
  <si>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</si>
  <si>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</si>
  <si>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</si>
  <si>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</si>
  <si>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</si>
  <si>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</si>
  <si>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</si>
  <si>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</si>
  <si>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</si>
  <si>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</si>
  <si>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</si>
  <si>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</si>
  <si>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</si>
  <si>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</si>
  <si>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</si>
  <si>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</si>
  <si>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</si>
  <si>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</si>
  <si>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</si>
  <si>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</si>
  <si>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</si>
  <si>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</si>
  <si>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</si>
  <si>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</si>
  <si>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</si>
  <si>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</si>
  <si>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</si>
  <si>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</si>
  <si>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</si>
  <si>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</si>
  <si>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</si>
  <si>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</si>
  <si>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</si>
  <si>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</si>
  <si>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</si>
  <si>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</si>
  <si>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</si>
  <si>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</si>
  <si>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</si>
  <si>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</si>
  <si>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</si>
  <si>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</si>
  <si>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</si>
  <si>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</si>
  <si>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</si>
  <si>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</si>
  <si>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</si>
  <si>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</si>
  <si>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</si>
  <si>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</si>
  <si>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</si>
  <si>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</si>
  <si>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</si>
  <si>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</si>
  <si>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</si>
  <si>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</si>
  <si>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</si>
  <si>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</si>
  <si>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</si>
  <si>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</si>
  <si>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</si>
  <si>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</si>
  <si>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</si>
  <si>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</si>
  <si>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</si>
  <si>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</si>
  <si>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</si>
  <si>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</si>
  <si>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</si>
  <si>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</si>
  <si>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</si>
  <si>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</si>
  <si>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</si>
  <si>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</si>
  <si>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</si>
  <si>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</si>
  <si>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</si>
  <si>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</si>
  <si>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</si>
  <si>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</si>
  <si>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</si>
  <si>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</si>
  <si>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</si>
  <si>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</si>
  <si>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</si>
  <si>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</si>
  <si>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</si>
  <si>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</si>
  <si>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</si>
  <si>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</si>
  <si>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</si>
  <si>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</si>
  <si>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</si>
  <si>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</si>
  <si>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</si>
  <si>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</si>
  <si>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</si>
  <si>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</si>
  <si>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</si>
  <si>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</si>
  <si>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</si>
  <si>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</si>
  <si>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</si>
  <si>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</si>
  <si>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</si>
  <si>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</si>
  <si>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</si>
  <si>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</si>
  <si>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</si>
  <si>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</si>
  <si>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</si>
  <si>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</si>
  <si>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</si>
  <si>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</si>
  <si>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</si>
  <si>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</si>
  <si>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</si>
  <si>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</si>
  <si>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</si>
  <si>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</si>
  <si>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</si>
  <si>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</si>
  <si>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</si>
  <si>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</si>
  <si>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</si>
  <si>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</si>
  <si>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</si>
  <si>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</si>
  <si>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</si>
  <si>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</si>
  <si>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</si>
  <si>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</si>
  <si>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</si>
  <si>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</si>
  <si>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</si>
  <si>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</si>
  <si>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</si>
  <si>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</si>
  <si>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</si>
  <si>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</si>
  <si>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</si>
  <si>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</si>
  <si>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</si>
  <si>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</si>
  <si>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</si>
  <si>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</si>
  <si>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</si>
  <si>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</si>
  <si>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</si>
  <si>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</si>
  <si>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</si>
  <si>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</si>
  <si>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</si>
  <si>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</si>
  <si>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</si>
  <si>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</si>
  <si>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</si>
  <si>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</si>
  <si>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</si>
  <si>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</si>
  <si>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</si>
  <si>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</si>
  <si>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</si>
  <si>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</si>
  <si>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</si>
  <si>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</si>
  <si>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</si>
  <si>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</si>
  <si>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</si>
  <si>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</si>
  <si>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</si>
  <si>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</si>
  <si>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</si>
  <si>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</si>
  <si>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</si>
  <si>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</si>
  <si>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</si>
  <si>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</si>
  <si>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</si>
  <si>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</si>
  <si>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</si>
  <si>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</si>
  <si>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</si>
  <si>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</si>
  <si>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</si>
  <si>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</si>
  <si>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</si>
  <si>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</si>
  <si>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</si>
  <si>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</si>
  <si>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</si>
  <si>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</si>
  <si>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</si>
  <si>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</si>
  <si>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</si>
  <si>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</si>
  <si>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</si>
  <si>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</si>
  <si>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</si>
  <si>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</si>
  <si>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</si>
  <si>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</si>
  <si>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</si>
  <si>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</si>
  <si>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</si>
  <si>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</si>
  <si>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</si>
  <si>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</si>
  <si>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</si>
  <si>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</si>
  <si>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</si>
  <si>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</si>
  <si>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</si>
  <si>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</si>
  <si>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</si>
  <si>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</si>
  <si>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</si>
  <si>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</si>
  <si>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</si>
  <si>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</si>
  <si>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</si>
  <si>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</si>
  <si>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</si>
  <si>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</si>
  <si>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</si>
  <si>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</si>
  <si>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</si>
  <si>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</si>
  <si>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</si>
  <si>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</si>
  <si>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</si>
  <si>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</si>
  <si>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</si>
  <si>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</si>
  <si>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</si>
  <si>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</si>
  <si>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</si>
  <si>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</si>
  <si>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</si>
  <si>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</si>
  <si>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</si>
  <si>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</si>
  <si>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</si>
  <si>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</si>
  <si>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</si>
  <si>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</si>
  <si>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</si>
  <si>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</si>
  <si>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</si>
  <si>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</si>
  <si>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</si>
  <si>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</si>
  <si>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</si>
  <si>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</si>
  <si>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</si>
  <si>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</si>
  <si>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</si>
  <si>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</si>
  <si>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</si>
  <si>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</si>
  <si>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</si>
  <si>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</si>
  <si>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</si>
  <si>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</si>
  <si>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</si>
  <si>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</si>
  <si>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</si>
  <si>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</si>
  <si>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</si>
  <si>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</si>
  <si>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</si>
  <si>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</si>
  <si>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</si>
  <si>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</si>
  <si>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</si>
  <si>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</si>
  <si>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</si>
  <si>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</si>
  <si>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</si>
  <si>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</si>
  <si>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</si>
  <si>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</si>
  <si>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</si>
  <si>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</si>
  <si>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</si>
  <si>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</si>
  <si>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</si>
  <si>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</si>
  <si>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</si>
  <si>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</si>
  <si>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</si>
  <si>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</si>
  <si>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</si>
  <si>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</si>
  <si>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</si>
  <si>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</si>
  <si>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</si>
  <si>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</si>
  <si>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</si>
  <si>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</si>
  <si>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</si>
  <si>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</si>
  <si>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</si>
  <si>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</si>
  <si>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</si>
  <si>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</si>
  <si>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</si>
  <si>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</si>
  <si>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</si>
  <si>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</si>
  <si>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</si>
  <si>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</si>
  <si>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</si>
  <si>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</si>
  <si>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</si>
  <si>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</si>
  <si>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</si>
  <si>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</si>
  <si>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</si>
  <si>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</si>
  <si>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</si>
  <si>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</si>
  <si>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</si>
  <si>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</si>
  <si>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</si>
  <si>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</si>
  <si>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</si>
  <si>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</si>
  <si>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</si>
  <si>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</si>
  <si>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</si>
  <si>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</si>
  <si>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</si>
  <si>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</si>
  <si>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</si>
  <si>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</si>
  <si>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</si>
  <si>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</si>
  <si>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</si>
  <si>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</si>
  <si>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</si>
  <si>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</si>
  <si>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</si>
  <si>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</si>
  <si>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</si>
  <si>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</si>
  <si>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</si>
  <si>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</si>
  <si>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</si>
  <si>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</si>
  <si>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</si>
  <si>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</si>
  <si>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</si>
  <si>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</si>
  <si>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</si>
  <si>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</si>
  <si>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</si>
  <si>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</si>
  <si>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</si>
  <si>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</si>
  <si>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</si>
  <si>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</si>
  <si>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</si>
  <si>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</si>
  <si>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</si>
  <si>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</si>
  <si>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</si>
  <si>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</si>
  <si>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</si>
  <si>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</si>
  <si>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</si>
  <si>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</si>
  <si>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</si>
  <si>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</si>
  <si>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</si>
  <si>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</si>
  <si>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</si>
  <si>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</si>
  <si>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</si>
  <si>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</si>
  <si>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</si>
  <si>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</si>
  <si>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</si>
  <si>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</si>
  <si>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</si>
  <si>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</si>
  <si>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</si>
  <si>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</si>
  <si>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</si>
  <si>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</si>
  <si>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</si>
  <si>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</si>
  <si>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</si>
  <si>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</si>
  <si>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</si>
  <si>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</si>
  <si>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</si>
  <si>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</si>
  <si>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</si>
  <si>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</si>
  <si>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</si>
  <si>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</si>
  <si>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</si>
  <si>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</si>
  <si>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</si>
  <si>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</si>
  <si>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</si>
  <si>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</si>
  <si>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</si>
  <si>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</si>
  <si>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</si>
  <si>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</si>
  <si>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</si>
  <si>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</si>
  <si>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</si>
  <si>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</si>
  <si>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</si>
  <si>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</si>
  <si>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</si>
  <si>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</si>
  <si>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</si>
  <si>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</si>
  <si>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</si>
  <si>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</si>
  <si>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</si>
  <si>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</si>
  <si>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</si>
  <si>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</si>
  <si>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</si>
  <si>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</si>
  <si>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</si>
  <si>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</si>
  <si>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</si>
  <si>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</si>
  <si>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</si>
  <si>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</si>
  <si>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</si>
  <si>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</si>
  <si>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</si>
  <si>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</si>
  <si>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</si>
  <si>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</si>
  <si>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</si>
  <si>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</si>
  <si>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</si>
  <si>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</si>
  <si>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</si>
  <si>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</si>
  <si>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</si>
  <si>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</si>
  <si>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</si>
  <si>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</si>
  <si>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</si>
  <si>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</si>
  <si>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</si>
  <si>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</si>
  <si>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</si>
  <si>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</si>
  <si>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</si>
  <si>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</si>
  <si>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</si>
  <si>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</si>
  <si>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</si>
  <si>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</si>
  <si>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</si>
  <si>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</si>
  <si>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</si>
  <si>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</si>
  <si>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</si>
  <si>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</si>
  <si>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</si>
  <si>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</si>
  <si>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</si>
  <si>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</si>
  <si>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</si>
  <si>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</si>
  <si>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</si>
  <si>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</si>
  <si>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</si>
  <si>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</si>
  <si>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</si>
  <si>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</si>
  <si>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</si>
  <si>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</si>
  <si>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</si>
  <si>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</si>
  <si>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</si>
  <si>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</si>
  <si>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</si>
  <si>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</si>
  <si>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</si>
  <si>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</si>
  <si>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</si>
  <si>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</si>
  <si>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</si>
  <si>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</si>
  <si>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</si>
  <si>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</si>
  <si>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</si>
  <si>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</si>
  <si>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</si>
  <si>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</si>
  <si>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</si>
  <si>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</si>
  <si>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</si>
  <si>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</si>
  <si>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</si>
  <si>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</si>
  <si>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</si>
  <si>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</si>
  <si>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</si>
  <si>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</si>
  <si>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</si>
  <si>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</si>
  <si>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</si>
  <si>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</si>
  <si>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</si>
  <si>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</si>
  <si>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</si>
  <si>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</si>
  <si>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</si>
  <si>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</si>
  <si>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</si>
  <si>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</si>
  <si>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</si>
  <si>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</si>
  <si>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</si>
  <si>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</si>
  <si>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</si>
  <si>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</si>
  <si>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</si>
  <si>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</si>
  <si>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</si>
  <si>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</si>
  <si>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</si>
  <si>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</si>
  <si>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</si>
  <si>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</si>
  <si>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</si>
  <si>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</si>
  <si>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</si>
  <si>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</si>
  <si>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</si>
  <si>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</si>
  <si>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</si>
  <si>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</si>
  <si>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</si>
  <si>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</si>
  <si>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</si>
  <si>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</si>
  <si>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</si>
  <si>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</si>
  <si>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</si>
  <si>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</si>
  <si>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</si>
  <si>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</si>
  <si>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</si>
  <si>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</si>
  <si>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</si>
  <si>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</si>
  <si>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</si>
  <si>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</si>
  <si>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</si>
  <si>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</si>
  <si>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</si>
  <si>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</si>
  <si>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</si>
  <si>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</si>
  <si>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</si>
  <si>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</si>
  <si>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</si>
  <si>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</si>
  <si>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</si>
  <si>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</si>
  <si>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</si>
  <si>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</si>
  <si>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</si>
  <si>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</si>
  <si>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</si>
  <si>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</si>
  <si>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</si>
  <si>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</si>
  <si>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</si>
  <si>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</si>
  <si>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</si>
  <si>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</si>
  <si>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</si>
  <si>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</si>
  <si>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</si>
  <si>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</si>
  <si>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</si>
  <si>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</si>
  <si>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</si>
  <si>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</si>
  <si>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</si>
  <si>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</si>
  <si>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</si>
  <si>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</si>
  <si>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</si>
  <si>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</si>
  <si>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</si>
  <si>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</si>
  <si>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</si>
  <si>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</si>
  <si>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</si>
  <si>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</si>
  <si>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</si>
  <si>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</si>
  <si>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</si>
  <si>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</si>
  <si>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</si>
  <si>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</si>
  <si>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</si>
  <si>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</si>
  <si>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</si>
  <si>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</si>
  <si>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</si>
  <si>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</si>
  <si>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</si>
  <si>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</si>
  <si>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</si>
  <si>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</si>
  <si>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</si>
  <si>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</si>
  <si>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</si>
  <si>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</si>
  <si>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</si>
  <si>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</si>
  <si>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</si>
  <si>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</si>
  <si>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</si>
  <si>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</si>
  <si>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</si>
  <si>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</si>
  <si>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</si>
  <si>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</si>
  <si>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</si>
  <si>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</si>
  <si>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</si>
  <si>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</si>
  <si>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</si>
  <si>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</si>
  <si>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</si>
  <si>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</si>
  <si>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</si>
  <si>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</si>
  <si>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</si>
  <si>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</si>
  <si>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</si>
  <si>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Numero_Casos</t>
  </si>
  <si>
    <t>Custo_Medio_MT</t>
  </si>
  <si>
    <t>Dias_Internamento_Medio</t>
  </si>
  <si>
    <t>Percentagem</t>
  </si>
  <si>
    <t>Mes</t>
  </si>
  <si>
    <t>Numero_Admissoes</t>
  </si>
  <si>
    <t>Custo_Total_MT</t>
  </si>
  <si>
    <t>Idade_Anos</t>
  </si>
  <si>
    <t>Regiao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</si>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</sst>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0.0"/>
    <numFmt numFmtId="166" formatCode="#,##0.00&quot; MT&quot;"/>
    <numFmt numFmtId="167" formatCode="0.0%"/>
    <numFmt numFmtId="168" formatCode="mmm/yyyy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1"/>
  <sheetViews>
    <sheetView tabSelected="1" zoomScaleNormal="100" workbookViewId="0">
      <pane ySplit="1" topLeftCell="A1297" activePane="bottomLeft" state="frozen"/>
      <selection pane="bottomLeft" activeCell="N1436" sqref="N1436"/>
    </sheetView>
  </sheetViews>
  <sheetFormatPr defaultColWidth="8.6640625" defaultRowHeight="14.25" x14ac:dyDescent="0.45"/>
  <cols>
    <col min="1" max="1" width="12" customWidth="1"/>
    <col min="2" max="2" width="14" customWidth="1"/>
    <col min="3" max="3" width="8" customWidth="1"/>
    <col min="4" max="4" width="12" customWidth="1"/>
    <col min="5" max="5" width="10" customWidth="1"/>
    <col min="6" max="6" width="11" customWidth="1"/>
    <col min="7" max="7" width="8" customWidth="1"/>
    <col min="8" max="8" width="18" customWidth="1"/>
    <col min="9" max="9" width="22" customWidth="1"/>
    <col min="10" max="11" width="16" customWidth="1"/>
    <col min="12" max="12" width="13" customWidth="1"/>
    <col min="13" max="13" width="15" customWidth="1"/>
    <col min="14" max="14" width="18" customWidth="1"/>
    <col min="15" max="15" width="16" customWidth="1"/>
    <col min="16" max="16" width="28" customWidth="1"/>
    <col min="17" max="18" width="12" customWidth="1"/>
    <col min="20" max="20" width="16" customWidth="1"/>
    <col min="21" max="21" width="30" customWidth="1"/>
  </cols>
  <sheetData>
    <row r="1" spans="1:21" ht="27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2" t="s">
        <v>14</v>
      </c>
      <c r="U1" s="2" t="s">
        <v>18</v>
      </c>
    </row>
    <row r="2" spans="1:21" x14ac:dyDescent="0.45">
      <c r="A2" t="s">
        <v>19</v>
      </c>
      <c r="B2" s="3">
        <v>45581</v>
      </c>
      <c r="C2">
        <v>36</v>
      </c>
      <c r="D2" t="s">
        <v>20</v>
      </c>
      <c r="E2">
        <v>52.7</v>
      </c>
      <c r="F2">
        <v>169.3</v>
      </c>
      <c r="G2" s="4">
        <f t="shared" ref="G2:G65" si="0">E2/((F2/100)^2)</f>
        <v>18.386399785922297</v>
      </c>
      <c r="H2" t="s">
        <v>21</v>
      </c>
      <c r="I2" t="s">
        <v>22</v>
      </c>
      <c r="J2">
        <v>116</v>
      </c>
      <c r="K2">
        <v>77</v>
      </c>
      <c r="L2">
        <v>99</v>
      </c>
      <c r="M2">
        <v>1</v>
      </c>
      <c r="N2" s="5">
        <v>3569.47</v>
      </c>
      <c r="O2" t="s">
        <v>23</v>
      </c>
      <c r="P2" t="str">
        <f t="shared" ref="P2:P65" si="1">INDEX($U$2:$U$12,MATCH(O2,$T$2:$T$12,0))</f>
        <v>Hospital Central de Maputo</v>
      </c>
      <c r="Q2" t="s">
        <v>24</v>
      </c>
      <c r="R2">
        <v>4</v>
      </c>
      <c r="T2" t="s">
        <v>23</v>
      </c>
      <c r="U2" t="s">
        <v>25</v>
      </c>
    </row>
    <row r="3" spans="1:21" x14ac:dyDescent="0.45">
      <c r="A3" t="s">
        <v>26</v>
      </c>
      <c r="B3" s="3">
        <v>45485</v>
      </c>
      <c r="C3">
        <v>8</v>
      </c>
      <c r="D3" t="s">
        <v>27</v>
      </c>
      <c r="E3">
        <v>18.100000000000001</v>
      </c>
      <c r="F3">
        <v>105.8</v>
      </c>
      <c r="G3" s="4">
        <f t="shared" si="0"/>
        <v>16.16989647692797</v>
      </c>
      <c r="H3" t="s">
        <v>28</v>
      </c>
      <c r="I3" t="s">
        <v>29</v>
      </c>
      <c r="J3">
        <v>94</v>
      </c>
      <c r="K3">
        <v>60</v>
      </c>
      <c r="L3">
        <v>93</v>
      </c>
      <c r="M3">
        <v>1</v>
      </c>
      <c r="N3" s="5">
        <v>3486.67</v>
      </c>
      <c r="O3" t="s">
        <v>30</v>
      </c>
      <c r="P3" t="str">
        <f t="shared" si="1"/>
        <v>Hospital Provincial de Inhambane</v>
      </c>
      <c r="Q3" t="s">
        <v>24</v>
      </c>
      <c r="R3">
        <v>2</v>
      </c>
      <c r="T3" t="s">
        <v>31</v>
      </c>
      <c r="U3" t="s">
        <v>32</v>
      </c>
    </row>
    <row r="4" spans="1:21" x14ac:dyDescent="0.45">
      <c r="A4" t="s">
        <v>33</v>
      </c>
      <c r="B4" s="3">
        <v>45397</v>
      </c>
      <c r="C4">
        <v>66</v>
      </c>
      <c r="D4" t="s">
        <v>20</v>
      </c>
      <c r="E4">
        <v>68.7</v>
      </c>
      <c r="F4">
        <v>169.6</v>
      </c>
      <c r="G4" s="4">
        <f t="shared" si="0"/>
        <v>23.883888839444644</v>
      </c>
      <c r="H4" t="s">
        <v>34</v>
      </c>
      <c r="I4" t="s">
        <v>35</v>
      </c>
      <c r="J4">
        <v>109</v>
      </c>
      <c r="K4">
        <v>58</v>
      </c>
      <c r="L4">
        <v>85</v>
      </c>
      <c r="M4">
        <v>1</v>
      </c>
      <c r="N4" s="5">
        <v>5417.42</v>
      </c>
      <c r="O4" t="s">
        <v>36</v>
      </c>
      <c r="P4" t="str">
        <f t="shared" si="1"/>
        <v>Hospital Provincial de Lichinga</v>
      </c>
      <c r="Q4" t="s">
        <v>37</v>
      </c>
      <c r="R4">
        <v>5</v>
      </c>
      <c r="T4" t="s">
        <v>38</v>
      </c>
      <c r="U4" t="s">
        <v>39</v>
      </c>
    </row>
    <row r="5" spans="1:21" x14ac:dyDescent="0.45">
      <c r="A5" t="s">
        <v>40</v>
      </c>
      <c r="B5" s="3">
        <v>45316</v>
      </c>
      <c r="C5">
        <v>46</v>
      </c>
      <c r="D5" t="s">
        <v>27</v>
      </c>
      <c r="E5">
        <v>73.599999999999994</v>
      </c>
      <c r="F5">
        <v>167.4</v>
      </c>
      <c r="G5" s="4">
        <f t="shared" si="0"/>
        <v>26.264365108932875</v>
      </c>
      <c r="H5" t="s">
        <v>41</v>
      </c>
      <c r="I5" t="s">
        <v>42</v>
      </c>
      <c r="J5">
        <v>109</v>
      </c>
      <c r="K5">
        <v>59</v>
      </c>
      <c r="L5">
        <v>87</v>
      </c>
      <c r="M5">
        <v>4</v>
      </c>
      <c r="N5" s="5">
        <v>9873</v>
      </c>
      <c r="O5" t="s">
        <v>43</v>
      </c>
      <c r="P5" t="str">
        <f t="shared" si="1"/>
        <v>Hospital Central da Beira</v>
      </c>
      <c r="Q5" t="s">
        <v>24</v>
      </c>
      <c r="R5">
        <v>5</v>
      </c>
      <c r="T5" t="s">
        <v>30</v>
      </c>
      <c r="U5" t="s">
        <v>44</v>
      </c>
    </row>
    <row r="6" spans="1:21" x14ac:dyDescent="0.45">
      <c r="A6" t="s">
        <v>45</v>
      </c>
      <c r="B6" s="3">
        <v>45631</v>
      </c>
      <c r="C6">
        <v>32</v>
      </c>
      <c r="D6" t="s">
        <v>20</v>
      </c>
      <c r="E6">
        <v>67</v>
      </c>
      <c r="F6">
        <v>163.30000000000001</v>
      </c>
      <c r="G6" s="4">
        <f t="shared" si="0"/>
        <v>25.12478957988727</v>
      </c>
      <c r="H6" t="s">
        <v>46</v>
      </c>
      <c r="I6" t="s">
        <v>47</v>
      </c>
      <c r="J6">
        <v>109</v>
      </c>
      <c r="K6">
        <v>71</v>
      </c>
      <c r="L6">
        <v>99</v>
      </c>
      <c r="M6">
        <v>8</v>
      </c>
      <c r="N6" s="5">
        <v>15621.93</v>
      </c>
      <c r="O6" t="s">
        <v>43</v>
      </c>
      <c r="P6" t="str">
        <f t="shared" si="1"/>
        <v>Hospital Central da Beira</v>
      </c>
      <c r="Q6" t="s">
        <v>37</v>
      </c>
      <c r="R6">
        <v>4</v>
      </c>
      <c r="T6" t="s">
        <v>43</v>
      </c>
      <c r="U6" t="s">
        <v>48</v>
      </c>
    </row>
    <row r="7" spans="1:21" x14ac:dyDescent="0.45">
      <c r="A7" t="s">
        <v>49</v>
      </c>
      <c r="B7" s="3">
        <v>45198</v>
      </c>
      <c r="C7">
        <v>17</v>
      </c>
      <c r="D7" t="s">
        <v>20</v>
      </c>
      <c r="E7">
        <v>63.8</v>
      </c>
      <c r="F7">
        <v>183.9</v>
      </c>
      <c r="G7" s="4">
        <f t="shared" si="0"/>
        <v>18.865017840452218</v>
      </c>
      <c r="H7" t="s">
        <v>28</v>
      </c>
      <c r="I7" t="s">
        <v>50</v>
      </c>
      <c r="J7">
        <v>94</v>
      </c>
      <c r="K7">
        <v>55</v>
      </c>
      <c r="L7">
        <v>79</v>
      </c>
      <c r="M7">
        <v>23</v>
      </c>
      <c r="N7" s="5">
        <v>30147.65</v>
      </c>
      <c r="O7" t="s">
        <v>51</v>
      </c>
      <c r="P7" t="str">
        <f t="shared" si="1"/>
        <v>Hospital Central de Quelimane</v>
      </c>
      <c r="Q7" t="s">
        <v>37</v>
      </c>
      <c r="R7">
        <v>3</v>
      </c>
      <c r="T7" t="s">
        <v>52</v>
      </c>
      <c r="U7" t="s">
        <v>53</v>
      </c>
    </row>
    <row r="8" spans="1:21" x14ac:dyDescent="0.45">
      <c r="A8" t="s">
        <v>54</v>
      </c>
      <c r="B8" s="3">
        <v>45090</v>
      </c>
      <c r="C8">
        <v>20</v>
      </c>
      <c r="D8" t="s">
        <v>27</v>
      </c>
      <c r="E8">
        <v>32.6</v>
      </c>
      <c r="F8">
        <v>171</v>
      </c>
      <c r="G8" s="4">
        <f t="shared" si="0"/>
        <v>11.148729523614104</v>
      </c>
      <c r="H8" t="s">
        <v>55</v>
      </c>
      <c r="I8" t="s">
        <v>56</v>
      </c>
      <c r="J8">
        <v>102</v>
      </c>
      <c r="K8">
        <v>63</v>
      </c>
      <c r="L8">
        <v>85</v>
      </c>
      <c r="M8">
        <v>5</v>
      </c>
      <c r="N8" s="5">
        <v>16104.28</v>
      </c>
      <c r="O8" t="s">
        <v>38</v>
      </c>
      <c r="P8" t="str">
        <f t="shared" si="1"/>
        <v>Hospital Provincial de Xai-Xai</v>
      </c>
      <c r="Q8" t="s">
        <v>24</v>
      </c>
      <c r="R8">
        <v>3</v>
      </c>
      <c r="T8" t="s">
        <v>57</v>
      </c>
      <c r="U8" t="s">
        <v>58</v>
      </c>
    </row>
    <row r="9" spans="1:21" x14ac:dyDescent="0.45">
      <c r="A9" t="s">
        <v>59</v>
      </c>
      <c r="B9" s="3">
        <v>45372</v>
      </c>
      <c r="C9">
        <v>71</v>
      </c>
      <c r="D9" t="s">
        <v>20</v>
      </c>
      <c r="E9">
        <v>84</v>
      </c>
      <c r="F9">
        <v>157.69999999999999</v>
      </c>
      <c r="G9" s="4">
        <f t="shared" si="0"/>
        <v>33.776597562696807</v>
      </c>
      <c r="H9" t="s">
        <v>41</v>
      </c>
      <c r="I9" t="s">
        <v>42</v>
      </c>
      <c r="J9">
        <v>124</v>
      </c>
      <c r="K9">
        <v>74</v>
      </c>
      <c r="L9">
        <v>92</v>
      </c>
      <c r="M9">
        <v>3</v>
      </c>
      <c r="N9" s="5">
        <v>10681.27</v>
      </c>
      <c r="O9" t="s">
        <v>31</v>
      </c>
      <c r="P9" t="str">
        <f t="shared" si="1"/>
        <v>Hospital Provincial da Matola</v>
      </c>
      <c r="Q9" t="s">
        <v>24</v>
      </c>
      <c r="R9">
        <v>3</v>
      </c>
      <c r="T9" t="s">
        <v>51</v>
      </c>
      <c r="U9" t="s">
        <v>60</v>
      </c>
    </row>
    <row r="10" spans="1:21" x14ac:dyDescent="0.45">
      <c r="A10" t="s">
        <v>61</v>
      </c>
      <c r="B10" s="3">
        <v>45470</v>
      </c>
      <c r="C10">
        <v>29</v>
      </c>
      <c r="D10" t="s">
        <v>20</v>
      </c>
      <c r="E10">
        <v>80.400000000000006</v>
      </c>
      <c r="F10">
        <v>163.30000000000001</v>
      </c>
      <c r="G10" s="4">
        <f t="shared" si="0"/>
        <v>30.149747495864727</v>
      </c>
      <c r="H10" t="s">
        <v>55</v>
      </c>
      <c r="I10" t="s">
        <v>62</v>
      </c>
      <c r="J10">
        <v>95</v>
      </c>
      <c r="K10">
        <v>58</v>
      </c>
      <c r="L10">
        <v>94</v>
      </c>
      <c r="M10">
        <v>8</v>
      </c>
      <c r="N10" s="5">
        <v>26989.4</v>
      </c>
      <c r="O10" t="s">
        <v>43</v>
      </c>
      <c r="P10" t="str">
        <f t="shared" si="1"/>
        <v>Hospital Central da Beira</v>
      </c>
      <c r="Q10" t="s">
        <v>24</v>
      </c>
      <c r="R10">
        <v>5</v>
      </c>
      <c r="T10" t="s">
        <v>63</v>
      </c>
      <c r="U10" t="s">
        <v>64</v>
      </c>
    </row>
    <row r="11" spans="1:21" x14ac:dyDescent="0.45">
      <c r="A11" t="s">
        <v>65</v>
      </c>
      <c r="B11" s="3">
        <v>45055</v>
      </c>
      <c r="C11">
        <v>47</v>
      </c>
      <c r="D11" t="s">
        <v>20</v>
      </c>
      <c r="E11">
        <v>90.9</v>
      </c>
      <c r="F11">
        <v>161.19999999999999</v>
      </c>
      <c r="G11" s="4">
        <f t="shared" si="0"/>
        <v>34.981127893158636</v>
      </c>
      <c r="H11" t="s">
        <v>46</v>
      </c>
      <c r="I11" t="s">
        <v>66</v>
      </c>
      <c r="J11">
        <v>112</v>
      </c>
      <c r="K11">
        <v>69</v>
      </c>
      <c r="L11">
        <v>65</v>
      </c>
      <c r="M11">
        <v>4</v>
      </c>
      <c r="N11" s="5">
        <v>9952.9599999999991</v>
      </c>
      <c r="O11" t="s">
        <v>30</v>
      </c>
      <c r="P11" t="str">
        <f t="shared" si="1"/>
        <v>Hospital Provincial de Inhambane</v>
      </c>
      <c r="Q11" t="s">
        <v>37</v>
      </c>
      <c r="R11">
        <v>4</v>
      </c>
      <c r="T11" t="s">
        <v>67</v>
      </c>
      <c r="U11" t="s">
        <v>68</v>
      </c>
    </row>
    <row r="12" spans="1:21" x14ac:dyDescent="0.45">
      <c r="A12" t="s">
        <v>69</v>
      </c>
      <c r="B12" s="3">
        <v>45180</v>
      </c>
      <c r="C12">
        <v>59</v>
      </c>
      <c r="D12" t="s">
        <v>20</v>
      </c>
      <c r="E12">
        <v>82.8</v>
      </c>
      <c r="F12">
        <v>164.5</v>
      </c>
      <c r="G12" s="4">
        <f t="shared" si="0"/>
        <v>30.598386932862777</v>
      </c>
      <c r="H12" t="s">
        <v>21</v>
      </c>
      <c r="I12" t="s">
        <v>70</v>
      </c>
      <c r="J12">
        <v>124</v>
      </c>
      <c r="K12">
        <v>78</v>
      </c>
      <c r="L12">
        <v>104</v>
      </c>
      <c r="M12">
        <v>1</v>
      </c>
      <c r="N12" s="5">
        <v>3853.87</v>
      </c>
      <c r="O12" t="s">
        <v>38</v>
      </c>
      <c r="P12" t="str">
        <f t="shared" si="1"/>
        <v>Hospital Provincial de Xai-Xai</v>
      </c>
      <c r="Q12" t="s">
        <v>24</v>
      </c>
      <c r="R12">
        <v>4</v>
      </c>
      <c r="T12" t="s">
        <v>36</v>
      </c>
      <c r="U12" t="s">
        <v>71</v>
      </c>
    </row>
    <row r="13" spans="1:21" x14ac:dyDescent="0.45">
      <c r="A13" t="s">
        <v>72</v>
      </c>
      <c r="B13" s="3">
        <v>45511</v>
      </c>
      <c r="C13">
        <v>15</v>
      </c>
      <c r="D13" t="s">
        <v>27</v>
      </c>
      <c r="E13">
        <v>69</v>
      </c>
      <c r="F13">
        <v>164.5</v>
      </c>
      <c r="G13" s="4">
        <f t="shared" si="0"/>
        <v>25.49865577738565</v>
      </c>
      <c r="H13" t="s">
        <v>28</v>
      </c>
      <c r="I13" t="s">
        <v>73</v>
      </c>
      <c r="J13">
        <v>94</v>
      </c>
      <c r="K13">
        <v>60</v>
      </c>
      <c r="L13">
        <v>65</v>
      </c>
      <c r="M13">
        <v>4</v>
      </c>
      <c r="N13" s="5">
        <v>13559.42</v>
      </c>
      <c r="O13" t="s">
        <v>43</v>
      </c>
      <c r="P13" t="str">
        <f t="shared" si="1"/>
        <v>Hospital Central da Beira</v>
      </c>
      <c r="Q13" t="s">
        <v>24</v>
      </c>
      <c r="R13">
        <v>5</v>
      </c>
    </row>
    <row r="14" spans="1:21" x14ac:dyDescent="0.45">
      <c r="A14" t="s">
        <v>74</v>
      </c>
      <c r="B14" s="3">
        <v>45181</v>
      </c>
      <c r="C14">
        <v>14</v>
      </c>
      <c r="D14" t="s">
        <v>20</v>
      </c>
      <c r="E14">
        <v>55.4</v>
      </c>
      <c r="F14">
        <v>166</v>
      </c>
      <c r="G14" s="4">
        <f t="shared" si="0"/>
        <v>20.104514443315431</v>
      </c>
      <c r="H14" t="s">
        <v>28</v>
      </c>
      <c r="I14" t="s">
        <v>75</v>
      </c>
      <c r="J14">
        <v>110</v>
      </c>
      <c r="K14">
        <v>68</v>
      </c>
      <c r="L14">
        <v>128</v>
      </c>
      <c r="M14">
        <v>2</v>
      </c>
      <c r="N14" s="5">
        <v>8068.21</v>
      </c>
      <c r="O14" t="s">
        <v>23</v>
      </c>
      <c r="P14" t="str">
        <f t="shared" si="1"/>
        <v>Hospital Central de Maputo</v>
      </c>
      <c r="Q14" t="s">
        <v>76</v>
      </c>
      <c r="R14">
        <v>5</v>
      </c>
    </row>
    <row r="15" spans="1:21" x14ac:dyDescent="0.45">
      <c r="A15" t="s">
        <v>77</v>
      </c>
      <c r="B15" s="3">
        <v>45022</v>
      </c>
      <c r="C15">
        <v>15</v>
      </c>
      <c r="D15" t="s">
        <v>20</v>
      </c>
      <c r="E15">
        <v>75.8</v>
      </c>
      <c r="F15">
        <v>165.1</v>
      </c>
      <c r="G15" s="4">
        <f t="shared" si="0"/>
        <v>27.808339640347917</v>
      </c>
      <c r="H15" t="s">
        <v>28</v>
      </c>
      <c r="I15" t="s">
        <v>73</v>
      </c>
      <c r="J15">
        <v>116</v>
      </c>
      <c r="K15">
        <v>74</v>
      </c>
      <c r="L15">
        <v>101</v>
      </c>
      <c r="M15">
        <v>6</v>
      </c>
      <c r="N15" s="5">
        <v>13590.44</v>
      </c>
      <c r="O15" t="s">
        <v>67</v>
      </c>
      <c r="P15" t="str">
        <f t="shared" si="1"/>
        <v>Hospital Provincial de Pemba</v>
      </c>
      <c r="Q15" t="s">
        <v>76</v>
      </c>
      <c r="R15">
        <v>4</v>
      </c>
    </row>
    <row r="16" spans="1:21" x14ac:dyDescent="0.45">
      <c r="A16" t="s">
        <v>78</v>
      </c>
      <c r="B16" s="3">
        <v>45425</v>
      </c>
      <c r="C16">
        <v>6</v>
      </c>
      <c r="D16" t="s">
        <v>20</v>
      </c>
      <c r="E16">
        <v>13</v>
      </c>
      <c r="F16">
        <v>103.3</v>
      </c>
      <c r="G16" s="4">
        <f t="shared" si="0"/>
        <v>12.182676421554344</v>
      </c>
      <c r="H16" t="s">
        <v>28</v>
      </c>
      <c r="I16" t="s">
        <v>29</v>
      </c>
      <c r="J16">
        <v>95</v>
      </c>
      <c r="K16">
        <v>58</v>
      </c>
      <c r="L16">
        <v>80</v>
      </c>
      <c r="M16">
        <v>3</v>
      </c>
      <c r="N16" s="5">
        <v>9413.1</v>
      </c>
      <c r="O16" t="s">
        <v>31</v>
      </c>
      <c r="P16" t="str">
        <f t="shared" si="1"/>
        <v>Hospital Provincial da Matola</v>
      </c>
      <c r="Q16" t="s">
        <v>76</v>
      </c>
      <c r="R16">
        <v>2</v>
      </c>
    </row>
    <row r="17" spans="1:18" x14ac:dyDescent="0.45">
      <c r="A17" t="s">
        <v>79</v>
      </c>
      <c r="B17" s="3">
        <v>45117</v>
      </c>
      <c r="C17">
        <v>32</v>
      </c>
      <c r="D17" t="s">
        <v>20</v>
      </c>
      <c r="E17">
        <v>78.5</v>
      </c>
      <c r="F17">
        <v>157.1</v>
      </c>
      <c r="G17" s="4">
        <f t="shared" si="0"/>
        <v>31.806602888687831</v>
      </c>
      <c r="H17" t="s">
        <v>55</v>
      </c>
      <c r="I17" t="s">
        <v>80</v>
      </c>
      <c r="J17">
        <v>107</v>
      </c>
      <c r="K17">
        <v>64</v>
      </c>
      <c r="L17">
        <v>86</v>
      </c>
      <c r="M17">
        <v>1</v>
      </c>
      <c r="N17" s="5">
        <v>6264.16</v>
      </c>
      <c r="O17" t="s">
        <v>30</v>
      </c>
      <c r="P17" t="str">
        <f t="shared" si="1"/>
        <v>Hospital Provincial de Inhambane</v>
      </c>
      <c r="Q17" t="s">
        <v>24</v>
      </c>
      <c r="R17">
        <v>4</v>
      </c>
    </row>
    <row r="18" spans="1:18" x14ac:dyDescent="0.45">
      <c r="A18" t="s">
        <v>81</v>
      </c>
      <c r="B18" s="3">
        <v>45248</v>
      </c>
      <c r="C18">
        <v>4</v>
      </c>
      <c r="D18" t="s">
        <v>20</v>
      </c>
      <c r="E18">
        <v>30.1</v>
      </c>
      <c r="F18">
        <v>51.8</v>
      </c>
      <c r="G18" s="4">
        <f t="shared" si="0"/>
        <v>112.17781488051759</v>
      </c>
      <c r="H18" t="s">
        <v>28</v>
      </c>
      <c r="I18" t="s">
        <v>50</v>
      </c>
      <c r="J18">
        <v>103</v>
      </c>
      <c r="K18">
        <v>63</v>
      </c>
      <c r="L18">
        <v>69</v>
      </c>
      <c r="M18">
        <v>1</v>
      </c>
      <c r="N18" s="5">
        <v>4304.8</v>
      </c>
      <c r="O18" t="s">
        <v>23</v>
      </c>
      <c r="P18" t="str">
        <f t="shared" si="1"/>
        <v>Hospital Central de Maputo</v>
      </c>
      <c r="Q18" t="s">
        <v>24</v>
      </c>
      <c r="R18">
        <v>2</v>
      </c>
    </row>
    <row r="19" spans="1:18" x14ac:dyDescent="0.45">
      <c r="A19" t="s">
        <v>82</v>
      </c>
      <c r="B19" s="3">
        <v>45177</v>
      </c>
      <c r="C19">
        <v>14</v>
      </c>
      <c r="D19" t="s">
        <v>27</v>
      </c>
      <c r="E19">
        <v>36.9</v>
      </c>
      <c r="F19">
        <v>155</v>
      </c>
      <c r="G19" s="4">
        <f t="shared" si="0"/>
        <v>15.359001040582724</v>
      </c>
      <c r="H19" t="s">
        <v>28</v>
      </c>
      <c r="I19" t="s">
        <v>50</v>
      </c>
      <c r="J19">
        <v>85</v>
      </c>
      <c r="K19">
        <v>55</v>
      </c>
      <c r="L19">
        <v>85</v>
      </c>
      <c r="M19">
        <v>6</v>
      </c>
      <c r="N19" s="5">
        <v>12187.93</v>
      </c>
      <c r="O19" t="s">
        <v>67</v>
      </c>
      <c r="P19" t="str">
        <f t="shared" si="1"/>
        <v>Hospital Provincial de Pemba</v>
      </c>
      <c r="Q19" t="s">
        <v>24</v>
      </c>
      <c r="R19">
        <v>3</v>
      </c>
    </row>
    <row r="20" spans="1:18" x14ac:dyDescent="0.45">
      <c r="A20" t="s">
        <v>83</v>
      </c>
      <c r="B20" s="3">
        <v>45036</v>
      </c>
      <c r="C20">
        <v>6</v>
      </c>
      <c r="D20" t="s">
        <v>20</v>
      </c>
      <c r="E20">
        <v>37.6</v>
      </c>
      <c r="F20">
        <v>114.8</v>
      </c>
      <c r="G20" s="4">
        <f t="shared" si="0"/>
        <v>28.530150906287567</v>
      </c>
      <c r="H20" t="s">
        <v>28</v>
      </c>
      <c r="I20" t="s">
        <v>50</v>
      </c>
      <c r="J20">
        <v>101</v>
      </c>
      <c r="K20">
        <v>69</v>
      </c>
      <c r="L20">
        <v>115</v>
      </c>
      <c r="M20">
        <v>1</v>
      </c>
      <c r="N20" s="5">
        <v>3331.93</v>
      </c>
      <c r="O20" t="s">
        <v>23</v>
      </c>
      <c r="P20" t="str">
        <f t="shared" si="1"/>
        <v>Hospital Central de Maputo</v>
      </c>
      <c r="Q20" t="s">
        <v>24</v>
      </c>
      <c r="R20">
        <v>4</v>
      </c>
    </row>
    <row r="21" spans="1:18" x14ac:dyDescent="0.45">
      <c r="A21" t="s">
        <v>84</v>
      </c>
      <c r="B21" s="3">
        <v>45195</v>
      </c>
      <c r="C21">
        <v>19</v>
      </c>
      <c r="D21" t="s">
        <v>20</v>
      </c>
      <c r="E21">
        <v>61.8</v>
      </c>
      <c r="F21">
        <v>158.9</v>
      </c>
      <c r="G21" s="4">
        <f t="shared" si="0"/>
        <v>24.47601330893125</v>
      </c>
      <c r="H21" t="s">
        <v>46</v>
      </c>
      <c r="I21" t="s">
        <v>66</v>
      </c>
      <c r="J21">
        <v>124</v>
      </c>
      <c r="K21">
        <v>73</v>
      </c>
      <c r="L21">
        <v>90</v>
      </c>
      <c r="M21">
        <v>1</v>
      </c>
      <c r="N21" s="5">
        <v>4103.1499999999996</v>
      </c>
      <c r="O21" t="s">
        <v>23</v>
      </c>
      <c r="P21" t="str">
        <f t="shared" si="1"/>
        <v>Hospital Central de Maputo</v>
      </c>
      <c r="Q21" t="s">
        <v>24</v>
      </c>
      <c r="R21">
        <v>5</v>
      </c>
    </row>
    <row r="22" spans="1:18" x14ac:dyDescent="0.45">
      <c r="A22" t="s">
        <v>85</v>
      </c>
      <c r="B22" s="3">
        <v>44967</v>
      </c>
      <c r="C22">
        <v>7</v>
      </c>
      <c r="D22" t="s">
        <v>27</v>
      </c>
      <c r="E22">
        <v>16.2</v>
      </c>
      <c r="F22">
        <v>110.2</v>
      </c>
      <c r="G22" s="4">
        <f t="shared" si="0"/>
        <v>13.339877009627765</v>
      </c>
      <c r="H22" t="s">
        <v>28</v>
      </c>
      <c r="I22" t="s">
        <v>29</v>
      </c>
      <c r="J22">
        <v>115</v>
      </c>
      <c r="K22">
        <v>82</v>
      </c>
      <c r="L22">
        <v>65</v>
      </c>
      <c r="M22">
        <v>5</v>
      </c>
      <c r="N22" s="5">
        <v>16480.169999999998</v>
      </c>
      <c r="O22" t="s">
        <v>31</v>
      </c>
      <c r="P22" t="str">
        <f t="shared" si="1"/>
        <v>Hospital Provincial da Matola</v>
      </c>
      <c r="Q22" t="s">
        <v>37</v>
      </c>
      <c r="R22">
        <v>3</v>
      </c>
    </row>
    <row r="23" spans="1:18" x14ac:dyDescent="0.45">
      <c r="A23" t="s">
        <v>86</v>
      </c>
      <c r="B23" s="3">
        <v>45349</v>
      </c>
      <c r="C23">
        <v>10</v>
      </c>
      <c r="D23" t="s">
        <v>20</v>
      </c>
      <c r="E23">
        <v>5.0999999999999996</v>
      </c>
      <c r="F23">
        <v>120.5</v>
      </c>
      <c r="G23" s="4">
        <f t="shared" si="0"/>
        <v>3.5123362201064028</v>
      </c>
      <c r="H23" t="s">
        <v>28</v>
      </c>
      <c r="I23" t="s">
        <v>73</v>
      </c>
      <c r="J23">
        <v>107</v>
      </c>
      <c r="K23">
        <v>61</v>
      </c>
      <c r="L23">
        <v>89</v>
      </c>
      <c r="M23">
        <v>8</v>
      </c>
      <c r="N23" s="5">
        <v>24287.66</v>
      </c>
      <c r="O23" t="s">
        <v>63</v>
      </c>
      <c r="P23" t="str">
        <f t="shared" si="1"/>
        <v>Hospital Central de Nampula</v>
      </c>
      <c r="Q23" t="s">
        <v>24</v>
      </c>
      <c r="R23">
        <v>4</v>
      </c>
    </row>
    <row r="24" spans="1:18" x14ac:dyDescent="0.45">
      <c r="A24" t="s">
        <v>87</v>
      </c>
      <c r="B24" s="3">
        <v>45160</v>
      </c>
      <c r="C24">
        <v>30</v>
      </c>
      <c r="D24" t="s">
        <v>20</v>
      </c>
      <c r="E24">
        <v>69.8</v>
      </c>
      <c r="F24">
        <v>157.19999999999999</v>
      </c>
      <c r="G24" s="4">
        <f t="shared" si="0"/>
        <v>28.245569734993431</v>
      </c>
      <c r="H24" t="s">
        <v>21</v>
      </c>
      <c r="I24" t="s">
        <v>70</v>
      </c>
      <c r="J24">
        <v>130</v>
      </c>
      <c r="K24">
        <v>84</v>
      </c>
      <c r="L24">
        <v>86</v>
      </c>
      <c r="M24">
        <v>4</v>
      </c>
      <c r="N24" s="5">
        <v>12988.25</v>
      </c>
      <c r="O24" t="s">
        <v>23</v>
      </c>
      <c r="P24" t="str">
        <f t="shared" si="1"/>
        <v>Hospital Central de Maputo</v>
      </c>
      <c r="Q24" t="s">
        <v>37</v>
      </c>
      <c r="R24">
        <v>3</v>
      </c>
    </row>
    <row r="25" spans="1:18" x14ac:dyDescent="0.45">
      <c r="A25" t="s">
        <v>88</v>
      </c>
      <c r="B25" s="3">
        <v>45521</v>
      </c>
      <c r="C25">
        <v>54</v>
      </c>
      <c r="D25" t="s">
        <v>27</v>
      </c>
      <c r="E25">
        <v>81.400000000000006</v>
      </c>
      <c r="F25">
        <v>154.1</v>
      </c>
      <c r="G25" s="4">
        <f t="shared" si="0"/>
        <v>34.278288325884617</v>
      </c>
      <c r="H25" t="s">
        <v>21</v>
      </c>
      <c r="I25" t="s">
        <v>89</v>
      </c>
      <c r="J25">
        <v>114</v>
      </c>
      <c r="K25">
        <v>77</v>
      </c>
      <c r="L25">
        <v>120</v>
      </c>
      <c r="M25">
        <v>1</v>
      </c>
      <c r="N25" s="5">
        <v>2953.87</v>
      </c>
      <c r="O25" t="s">
        <v>52</v>
      </c>
      <c r="P25" t="str">
        <f t="shared" si="1"/>
        <v>Hospital Provincial de Chimoio</v>
      </c>
      <c r="Q25" t="s">
        <v>37</v>
      </c>
      <c r="R25">
        <v>4</v>
      </c>
    </row>
    <row r="26" spans="1:18" x14ac:dyDescent="0.45">
      <c r="A26" t="s">
        <v>90</v>
      </c>
      <c r="B26" s="3">
        <v>45613</v>
      </c>
      <c r="C26">
        <v>62</v>
      </c>
      <c r="D26" t="s">
        <v>20</v>
      </c>
      <c r="E26">
        <v>55.5</v>
      </c>
      <c r="F26">
        <v>182.2</v>
      </c>
      <c r="G26" s="4">
        <f t="shared" si="0"/>
        <v>16.718458744868489</v>
      </c>
      <c r="H26" t="s">
        <v>91</v>
      </c>
      <c r="I26" t="s">
        <v>92</v>
      </c>
      <c r="J26">
        <v>112</v>
      </c>
      <c r="K26">
        <v>63</v>
      </c>
      <c r="L26">
        <v>119</v>
      </c>
      <c r="M26">
        <v>2</v>
      </c>
      <c r="N26" s="5">
        <v>6478.87</v>
      </c>
      <c r="O26" t="s">
        <v>51</v>
      </c>
      <c r="P26" t="str">
        <f t="shared" si="1"/>
        <v>Hospital Central de Quelimane</v>
      </c>
      <c r="Q26" t="s">
        <v>24</v>
      </c>
      <c r="R26">
        <v>3</v>
      </c>
    </row>
    <row r="27" spans="1:18" x14ac:dyDescent="0.45">
      <c r="A27" t="s">
        <v>93</v>
      </c>
      <c r="B27" s="3">
        <v>45607</v>
      </c>
      <c r="C27">
        <v>63</v>
      </c>
      <c r="D27" t="s">
        <v>27</v>
      </c>
      <c r="E27">
        <v>57.3</v>
      </c>
      <c r="F27">
        <v>157.30000000000001</v>
      </c>
      <c r="G27" s="4">
        <f t="shared" si="0"/>
        <v>23.157793486638191</v>
      </c>
      <c r="H27" t="s">
        <v>46</v>
      </c>
      <c r="I27" t="s">
        <v>94</v>
      </c>
      <c r="J27">
        <v>124</v>
      </c>
      <c r="K27">
        <v>76</v>
      </c>
      <c r="L27">
        <v>87</v>
      </c>
      <c r="M27">
        <v>3</v>
      </c>
      <c r="N27" s="5">
        <v>9258.93</v>
      </c>
      <c r="O27" t="s">
        <v>43</v>
      </c>
      <c r="P27" t="str">
        <f t="shared" si="1"/>
        <v>Hospital Central da Beira</v>
      </c>
      <c r="Q27" t="s">
        <v>24</v>
      </c>
      <c r="R27">
        <v>4</v>
      </c>
    </row>
    <row r="28" spans="1:18" x14ac:dyDescent="0.45">
      <c r="A28" t="s">
        <v>95</v>
      </c>
      <c r="B28" s="3">
        <v>45100</v>
      </c>
      <c r="C28">
        <v>10</v>
      </c>
      <c r="D28" t="s">
        <v>20</v>
      </c>
      <c r="E28">
        <v>31</v>
      </c>
      <c r="F28">
        <v>129.80000000000001</v>
      </c>
      <c r="G28" s="4">
        <f t="shared" si="0"/>
        <v>18.399766382321026</v>
      </c>
      <c r="H28" t="s">
        <v>28</v>
      </c>
      <c r="I28" t="s">
        <v>29</v>
      </c>
      <c r="J28">
        <v>85</v>
      </c>
      <c r="K28">
        <v>55</v>
      </c>
      <c r="L28">
        <v>75</v>
      </c>
      <c r="M28">
        <v>1</v>
      </c>
      <c r="N28" s="5">
        <v>2315.19</v>
      </c>
      <c r="O28" t="s">
        <v>43</v>
      </c>
      <c r="P28" t="str">
        <f t="shared" si="1"/>
        <v>Hospital Central da Beira</v>
      </c>
      <c r="Q28" t="s">
        <v>37</v>
      </c>
      <c r="R28">
        <v>2</v>
      </c>
    </row>
    <row r="29" spans="1:18" x14ac:dyDescent="0.45">
      <c r="A29" t="s">
        <v>96</v>
      </c>
      <c r="B29" s="3">
        <v>45351</v>
      </c>
      <c r="C29">
        <v>25</v>
      </c>
      <c r="D29" t="s">
        <v>20</v>
      </c>
      <c r="E29">
        <v>63.3</v>
      </c>
      <c r="F29">
        <v>169.1</v>
      </c>
      <c r="G29" s="4">
        <f t="shared" si="0"/>
        <v>22.136884280748856</v>
      </c>
      <c r="H29" t="s">
        <v>46</v>
      </c>
      <c r="I29" t="s">
        <v>94</v>
      </c>
      <c r="J29">
        <v>108</v>
      </c>
      <c r="K29">
        <v>67</v>
      </c>
      <c r="L29">
        <v>65</v>
      </c>
      <c r="M29">
        <v>1</v>
      </c>
      <c r="N29" s="5">
        <v>3023.08</v>
      </c>
      <c r="O29" t="s">
        <v>67</v>
      </c>
      <c r="P29" t="str">
        <f t="shared" si="1"/>
        <v>Hospital Provincial de Pemba</v>
      </c>
      <c r="Q29" t="s">
        <v>24</v>
      </c>
      <c r="R29">
        <v>2</v>
      </c>
    </row>
    <row r="30" spans="1:18" x14ac:dyDescent="0.45">
      <c r="A30" t="s">
        <v>97</v>
      </c>
      <c r="B30" s="3">
        <v>45182</v>
      </c>
      <c r="C30">
        <v>46</v>
      </c>
      <c r="D30" t="s">
        <v>20</v>
      </c>
      <c r="E30">
        <v>88.1</v>
      </c>
      <c r="F30">
        <v>150.30000000000001</v>
      </c>
      <c r="G30" s="4">
        <f t="shared" si="0"/>
        <v>38.99940195014716</v>
      </c>
      <c r="H30" t="s">
        <v>41</v>
      </c>
      <c r="I30" t="s">
        <v>42</v>
      </c>
      <c r="J30">
        <v>110</v>
      </c>
      <c r="K30">
        <v>60</v>
      </c>
      <c r="L30">
        <v>71</v>
      </c>
      <c r="M30">
        <v>2</v>
      </c>
      <c r="N30" s="5">
        <v>7919.02</v>
      </c>
      <c r="O30" t="s">
        <v>63</v>
      </c>
      <c r="P30" t="str">
        <f t="shared" si="1"/>
        <v>Hospital Central de Nampula</v>
      </c>
      <c r="Q30" t="s">
        <v>24</v>
      </c>
      <c r="R30">
        <v>4</v>
      </c>
    </row>
    <row r="31" spans="1:18" x14ac:dyDescent="0.45">
      <c r="A31" t="s">
        <v>98</v>
      </c>
      <c r="B31" s="3">
        <v>45192</v>
      </c>
      <c r="C31">
        <v>24</v>
      </c>
      <c r="D31" t="s">
        <v>27</v>
      </c>
      <c r="E31">
        <v>57.3</v>
      </c>
      <c r="F31">
        <v>178.4</v>
      </c>
      <c r="G31" s="4">
        <f t="shared" si="0"/>
        <v>18.003830762734015</v>
      </c>
      <c r="H31" t="s">
        <v>99</v>
      </c>
      <c r="I31" t="s">
        <v>100</v>
      </c>
      <c r="J31">
        <v>102</v>
      </c>
      <c r="K31">
        <v>67</v>
      </c>
      <c r="L31">
        <v>95</v>
      </c>
      <c r="M31">
        <v>1</v>
      </c>
      <c r="N31" s="5">
        <v>3909.8</v>
      </c>
      <c r="O31" t="s">
        <v>23</v>
      </c>
      <c r="P31" t="str">
        <f t="shared" si="1"/>
        <v>Hospital Central de Maputo</v>
      </c>
      <c r="Q31" t="s">
        <v>24</v>
      </c>
      <c r="R31">
        <v>4</v>
      </c>
    </row>
    <row r="32" spans="1:18" x14ac:dyDescent="0.45">
      <c r="A32" t="s">
        <v>101</v>
      </c>
      <c r="B32" s="3">
        <v>45650</v>
      </c>
      <c r="C32">
        <v>20</v>
      </c>
      <c r="D32" t="s">
        <v>20</v>
      </c>
      <c r="E32">
        <v>85</v>
      </c>
      <c r="F32">
        <v>169.2</v>
      </c>
      <c r="G32" s="4">
        <f t="shared" si="0"/>
        <v>29.690547647390868</v>
      </c>
      <c r="H32" t="s">
        <v>21</v>
      </c>
      <c r="I32" t="s">
        <v>89</v>
      </c>
      <c r="J32">
        <v>141</v>
      </c>
      <c r="K32">
        <v>79</v>
      </c>
      <c r="L32">
        <v>107</v>
      </c>
      <c r="M32">
        <v>11</v>
      </c>
      <c r="N32" s="5">
        <v>13724.19</v>
      </c>
      <c r="O32" t="s">
        <v>57</v>
      </c>
      <c r="P32" t="str">
        <f t="shared" si="1"/>
        <v>Hospital Provincial de Tete</v>
      </c>
      <c r="Q32" t="s">
        <v>24</v>
      </c>
      <c r="R32">
        <v>5</v>
      </c>
    </row>
    <row r="33" spans="1:18" x14ac:dyDescent="0.45">
      <c r="A33" t="s">
        <v>102</v>
      </c>
      <c r="B33" s="3">
        <v>45232</v>
      </c>
      <c r="C33">
        <v>34</v>
      </c>
      <c r="D33" t="s">
        <v>27</v>
      </c>
      <c r="E33">
        <v>54.4</v>
      </c>
      <c r="F33">
        <v>160.30000000000001</v>
      </c>
      <c r="G33" s="4">
        <f t="shared" si="0"/>
        <v>21.17053606210127</v>
      </c>
      <c r="H33" t="s">
        <v>99</v>
      </c>
      <c r="I33" t="s">
        <v>103</v>
      </c>
      <c r="J33">
        <v>114</v>
      </c>
      <c r="K33">
        <v>64</v>
      </c>
      <c r="L33">
        <v>91</v>
      </c>
      <c r="M33">
        <v>4</v>
      </c>
      <c r="N33" s="5">
        <v>13787.87</v>
      </c>
      <c r="O33" t="s">
        <v>63</v>
      </c>
      <c r="P33" t="str">
        <f t="shared" si="1"/>
        <v>Hospital Central de Nampula</v>
      </c>
      <c r="Q33" t="s">
        <v>37</v>
      </c>
      <c r="R33">
        <v>5</v>
      </c>
    </row>
    <row r="34" spans="1:18" x14ac:dyDescent="0.45">
      <c r="A34" t="s">
        <v>104</v>
      </c>
      <c r="B34" s="3">
        <v>45473</v>
      </c>
      <c r="C34">
        <v>17</v>
      </c>
      <c r="D34" t="s">
        <v>27</v>
      </c>
      <c r="E34">
        <v>60</v>
      </c>
      <c r="F34">
        <v>155.80000000000001</v>
      </c>
      <c r="G34" s="4">
        <f t="shared" si="0"/>
        <v>24.718171646279664</v>
      </c>
      <c r="H34" t="s">
        <v>99</v>
      </c>
      <c r="I34" t="s">
        <v>105</v>
      </c>
      <c r="J34">
        <v>101</v>
      </c>
      <c r="K34">
        <v>60</v>
      </c>
      <c r="L34">
        <v>89</v>
      </c>
      <c r="M34">
        <v>1</v>
      </c>
      <c r="N34" s="5">
        <v>3000.04</v>
      </c>
      <c r="O34" t="s">
        <v>51</v>
      </c>
      <c r="P34" t="str">
        <f t="shared" si="1"/>
        <v>Hospital Central de Quelimane</v>
      </c>
      <c r="Q34" t="s">
        <v>24</v>
      </c>
      <c r="R34">
        <v>5</v>
      </c>
    </row>
    <row r="35" spans="1:18" x14ac:dyDescent="0.45">
      <c r="A35" t="s">
        <v>106</v>
      </c>
      <c r="B35" s="3">
        <v>45358</v>
      </c>
      <c r="C35">
        <v>13</v>
      </c>
      <c r="D35" t="s">
        <v>27</v>
      </c>
      <c r="E35">
        <v>75.099999999999994</v>
      </c>
      <c r="F35">
        <v>165.8</v>
      </c>
      <c r="G35" s="4">
        <f t="shared" si="0"/>
        <v>27.319382865690486</v>
      </c>
      <c r="H35" t="s">
        <v>99</v>
      </c>
      <c r="I35" t="s">
        <v>105</v>
      </c>
      <c r="J35">
        <v>105</v>
      </c>
      <c r="K35">
        <v>58</v>
      </c>
      <c r="L35">
        <v>65</v>
      </c>
      <c r="M35">
        <v>4</v>
      </c>
      <c r="N35" s="5">
        <v>14082.74</v>
      </c>
      <c r="O35" t="s">
        <v>31</v>
      </c>
      <c r="P35" t="str">
        <f t="shared" si="1"/>
        <v>Hospital Provincial da Matola</v>
      </c>
      <c r="Q35" t="s">
        <v>24</v>
      </c>
      <c r="R35">
        <v>3</v>
      </c>
    </row>
    <row r="36" spans="1:18" x14ac:dyDescent="0.45">
      <c r="A36" t="s">
        <v>107</v>
      </c>
      <c r="B36" s="3">
        <v>45056</v>
      </c>
      <c r="C36">
        <v>27</v>
      </c>
      <c r="D36" t="s">
        <v>27</v>
      </c>
      <c r="E36">
        <v>64.8</v>
      </c>
      <c r="F36">
        <v>160.5</v>
      </c>
      <c r="G36" s="4">
        <f t="shared" si="0"/>
        <v>25.155035374268493</v>
      </c>
      <c r="H36" t="s">
        <v>46</v>
      </c>
      <c r="I36" t="s">
        <v>108</v>
      </c>
      <c r="J36">
        <v>103</v>
      </c>
      <c r="K36">
        <v>56</v>
      </c>
      <c r="L36">
        <v>70</v>
      </c>
      <c r="M36">
        <v>1</v>
      </c>
      <c r="N36" s="5">
        <v>6375.03</v>
      </c>
      <c r="O36" t="s">
        <v>23</v>
      </c>
      <c r="P36" t="str">
        <f t="shared" si="1"/>
        <v>Hospital Central de Maputo</v>
      </c>
      <c r="Q36" t="s">
        <v>24</v>
      </c>
      <c r="R36">
        <v>4</v>
      </c>
    </row>
    <row r="37" spans="1:18" x14ac:dyDescent="0.45">
      <c r="A37" t="s">
        <v>109</v>
      </c>
      <c r="B37" s="3">
        <v>45620</v>
      </c>
      <c r="C37">
        <v>36</v>
      </c>
      <c r="D37" t="s">
        <v>27</v>
      </c>
      <c r="E37">
        <v>80.599999999999994</v>
      </c>
      <c r="F37">
        <v>159.5</v>
      </c>
      <c r="G37" s="4">
        <f t="shared" si="0"/>
        <v>31.682078595925745</v>
      </c>
      <c r="H37" t="s">
        <v>91</v>
      </c>
      <c r="I37" t="s">
        <v>110</v>
      </c>
      <c r="J37">
        <v>126</v>
      </c>
      <c r="K37">
        <v>82</v>
      </c>
      <c r="L37">
        <v>69</v>
      </c>
      <c r="M37">
        <v>1</v>
      </c>
      <c r="N37" s="5">
        <v>6189.01</v>
      </c>
      <c r="O37" t="s">
        <v>30</v>
      </c>
      <c r="P37" t="str">
        <f t="shared" si="1"/>
        <v>Hospital Provincial de Inhambane</v>
      </c>
      <c r="Q37" t="s">
        <v>24</v>
      </c>
      <c r="R37">
        <v>4</v>
      </c>
    </row>
    <row r="38" spans="1:18" x14ac:dyDescent="0.45">
      <c r="A38" t="s">
        <v>111</v>
      </c>
      <c r="B38" s="3">
        <v>45445</v>
      </c>
      <c r="C38">
        <v>20</v>
      </c>
      <c r="D38" t="s">
        <v>27</v>
      </c>
      <c r="E38">
        <v>80.5</v>
      </c>
      <c r="F38">
        <v>168</v>
      </c>
      <c r="G38" s="4">
        <f t="shared" si="0"/>
        <v>28.521825396825403</v>
      </c>
      <c r="H38" t="s">
        <v>21</v>
      </c>
      <c r="I38" t="s">
        <v>89</v>
      </c>
      <c r="J38">
        <v>128</v>
      </c>
      <c r="K38">
        <v>83</v>
      </c>
      <c r="L38">
        <v>65</v>
      </c>
      <c r="M38">
        <v>2</v>
      </c>
      <c r="N38" s="5">
        <v>8768.43</v>
      </c>
      <c r="O38" t="s">
        <v>38</v>
      </c>
      <c r="P38" t="str">
        <f t="shared" si="1"/>
        <v>Hospital Provincial de Xai-Xai</v>
      </c>
      <c r="Q38" t="s">
        <v>37</v>
      </c>
      <c r="R38">
        <v>4</v>
      </c>
    </row>
    <row r="39" spans="1:18" x14ac:dyDescent="0.45">
      <c r="A39" t="s">
        <v>112</v>
      </c>
      <c r="B39" s="3">
        <v>45422</v>
      </c>
      <c r="C39">
        <v>36</v>
      </c>
      <c r="D39" t="s">
        <v>27</v>
      </c>
      <c r="E39">
        <v>66.5</v>
      </c>
      <c r="F39">
        <v>155.9</v>
      </c>
      <c r="G39" s="4">
        <f t="shared" si="0"/>
        <v>27.360839274201275</v>
      </c>
      <c r="H39" t="s">
        <v>41</v>
      </c>
      <c r="I39" t="s">
        <v>113</v>
      </c>
      <c r="J39">
        <v>134</v>
      </c>
      <c r="K39">
        <v>86</v>
      </c>
      <c r="L39">
        <v>80</v>
      </c>
      <c r="M39">
        <v>2</v>
      </c>
      <c r="N39" s="5">
        <v>6382.39</v>
      </c>
      <c r="O39" t="s">
        <v>23</v>
      </c>
      <c r="P39" t="str">
        <f t="shared" si="1"/>
        <v>Hospital Central de Maputo</v>
      </c>
      <c r="Q39" t="s">
        <v>37</v>
      </c>
      <c r="R39">
        <v>3</v>
      </c>
    </row>
    <row r="40" spans="1:18" x14ac:dyDescent="0.45">
      <c r="A40" t="s">
        <v>114</v>
      </c>
      <c r="B40" s="3">
        <v>45144</v>
      </c>
      <c r="C40">
        <v>19</v>
      </c>
      <c r="D40" t="s">
        <v>27</v>
      </c>
      <c r="E40">
        <v>50.4</v>
      </c>
      <c r="F40">
        <v>178.6</v>
      </c>
      <c r="G40" s="4">
        <f t="shared" si="0"/>
        <v>15.800383472798886</v>
      </c>
      <c r="H40" t="s">
        <v>46</v>
      </c>
      <c r="I40" t="s">
        <v>108</v>
      </c>
      <c r="J40">
        <v>102</v>
      </c>
      <c r="K40">
        <v>64</v>
      </c>
      <c r="L40">
        <v>100</v>
      </c>
      <c r="M40">
        <v>2</v>
      </c>
      <c r="N40" s="5">
        <v>5698.81</v>
      </c>
      <c r="O40" t="s">
        <v>43</v>
      </c>
      <c r="P40" t="str">
        <f t="shared" si="1"/>
        <v>Hospital Central da Beira</v>
      </c>
      <c r="Q40" t="s">
        <v>24</v>
      </c>
      <c r="R40">
        <v>4</v>
      </c>
    </row>
    <row r="41" spans="1:18" x14ac:dyDescent="0.45">
      <c r="A41" t="s">
        <v>115</v>
      </c>
      <c r="B41" s="3">
        <v>44944</v>
      </c>
      <c r="C41">
        <v>27</v>
      </c>
      <c r="D41" t="s">
        <v>20</v>
      </c>
      <c r="E41">
        <v>49.4</v>
      </c>
      <c r="F41">
        <v>166.8</v>
      </c>
      <c r="G41" s="4">
        <f t="shared" si="0"/>
        <v>17.75557970889475</v>
      </c>
      <c r="H41" t="s">
        <v>91</v>
      </c>
      <c r="I41" t="s">
        <v>116</v>
      </c>
      <c r="J41">
        <v>113</v>
      </c>
      <c r="K41">
        <v>61</v>
      </c>
      <c r="L41">
        <v>102</v>
      </c>
      <c r="M41">
        <v>1</v>
      </c>
      <c r="N41" s="5">
        <v>3956.41</v>
      </c>
      <c r="O41" t="s">
        <v>38</v>
      </c>
      <c r="P41" t="str">
        <f t="shared" si="1"/>
        <v>Hospital Provincial de Xai-Xai</v>
      </c>
      <c r="Q41" t="s">
        <v>24</v>
      </c>
      <c r="R41">
        <v>3</v>
      </c>
    </row>
    <row r="42" spans="1:18" x14ac:dyDescent="0.45">
      <c r="A42" t="s">
        <v>117</v>
      </c>
      <c r="B42" s="3">
        <v>45049</v>
      </c>
      <c r="C42">
        <v>15</v>
      </c>
      <c r="D42" t="s">
        <v>20</v>
      </c>
      <c r="E42">
        <v>31.5</v>
      </c>
      <c r="F42">
        <v>159.1</v>
      </c>
      <c r="G42" s="4">
        <f t="shared" si="0"/>
        <v>12.444292040275259</v>
      </c>
      <c r="H42" t="s">
        <v>28</v>
      </c>
      <c r="I42" t="s">
        <v>50</v>
      </c>
      <c r="J42">
        <v>96</v>
      </c>
      <c r="K42">
        <v>58</v>
      </c>
      <c r="L42">
        <v>97</v>
      </c>
      <c r="M42">
        <v>1</v>
      </c>
      <c r="N42" s="5">
        <v>1956.58</v>
      </c>
      <c r="O42" t="s">
        <v>52</v>
      </c>
      <c r="P42" t="str">
        <f t="shared" si="1"/>
        <v>Hospital Provincial de Chimoio</v>
      </c>
      <c r="Q42" t="s">
        <v>24</v>
      </c>
      <c r="R42">
        <v>5</v>
      </c>
    </row>
    <row r="43" spans="1:18" x14ac:dyDescent="0.45">
      <c r="A43" t="s">
        <v>118</v>
      </c>
      <c r="B43" s="3">
        <v>45493</v>
      </c>
      <c r="C43">
        <v>44</v>
      </c>
      <c r="D43" t="s">
        <v>27</v>
      </c>
      <c r="E43">
        <v>48.7</v>
      </c>
      <c r="F43">
        <v>153.30000000000001</v>
      </c>
      <c r="G43" s="4">
        <f t="shared" si="0"/>
        <v>20.722619441221159</v>
      </c>
      <c r="H43" t="s">
        <v>46</v>
      </c>
      <c r="I43" t="s">
        <v>94</v>
      </c>
      <c r="J43">
        <v>119</v>
      </c>
      <c r="K43">
        <v>74</v>
      </c>
      <c r="L43">
        <v>86</v>
      </c>
      <c r="M43">
        <v>1</v>
      </c>
      <c r="N43" s="5">
        <v>4503.33</v>
      </c>
      <c r="O43" t="s">
        <v>63</v>
      </c>
      <c r="P43" t="str">
        <f t="shared" si="1"/>
        <v>Hospital Central de Nampula</v>
      </c>
      <c r="Q43" t="s">
        <v>24</v>
      </c>
      <c r="R43">
        <v>2</v>
      </c>
    </row>
    <row r="44" spans="1:18" x14ac:dyDescent="0.45">
      <c r="A44" t="s">
        <v>119</v>
      </c>
      <c r="B44" s="3">
        <v>45430</v>
      </c>
      <c r="C44">
        <v>56</v>
      </c>
      <c r="D44" t="s">
        <v>20</v>
      </c>
      <c r="E44">
        <v>81.900000000000006</v>
      </c>
      <c r="F44">
        <v>172.5</v>
      </c>
      <c r="G44" s="4">
        <f t="shared" si="0"/>
        <v>27.523629489603024</v>
      </c>
      <c r="H44" t="s">
        <v>55</v>
      </c>
      <c r="I44" t="s">
        <v>80</v>
      </c>
      <c r="J44">
        <v>127</v>
      </c>
      <c r="K44">
        <v>77</v>
      </c>
      <c r="L44">
        <v>91</v>
      </c>
      <c r="M44">
        <v>2</v>
      </c>
      <c r="N44" s="5">
        <v>8559.2800000000007</v>
      </c>
      <c r="O44" t="s">
        <v>63</v>
      </c>
      <c r="P44" t="str">
        <f t="shared" si="1"/>
        <v>Hospital Central de Nampula</v>
      </c>
      <c r="Q44" t="s">
        <v>24</v>
      </c>
      <c r="R44">
        <v>5</v>
      </c>
    </row>
    <row r="45" spans="1:18" x14ac:dyDescent="0.45">
      <c r="A45" t="s">
        <v>120</v>
      </c>
      <c r="B45" s="3">
        <v>45231</v>
      </c>
      <c r="C45">
        <v>59</v>
      </c>
      <c r="D45" t="s">
        <v>27</v>
      </c>
      <c r="E45">
        <v>51.5</v>
      </c>
      <c r="F45">
        <v>151.6</v>
      </c>
      <c r="G45" s="4">
        <f t="shared" si="0"/>
        <v>22.408295681595089</v>
      </c>
      <c r="H45" t="s">
        <v>91</v>
      </c>
      <c r="I45" t="s">
        <v>92</v>
      </c>
      <c r="J45">
        <v>131</v>
      </c>
      <c r="K45">
        <v>79</v>
      </c>
      <c r="L45">
        <v>98</v>
      </c>
      <c r="M45">
        <v>1</v>
      </c>
      <c r="N45" s="5">
        <v>2132.4699999999998</v>
      </c>
      <c r="O45" t="s">
        <v>23</v>
      </c>
      <c r="P45" t="str">
        <f t="shared" si="1"/>
        <v>Hospital Central de Maputo</v>
      </c>
      <c r="Q45" t="s">
        <v>24</v>
      </c>
      <c r="R45">
        <v>4</v>
      </c>
    </row>
    <row r="46" spans="1:18" x14ac:dyDescent="0.45">
      <c r="A46" t="s">
        <v>121</v>
      </c>
      <c r="B46" s="3">
        <v>45225</v>
      </c>
      <c r="C46">
        <v>9</v>
      </c>
      <c r="D46" t="s">
        <v>20</v>
      </c>
      <c r="E46">
        <v>30.6</v>
      </c>
      <c r="F46">
        <v>139.19999999999999</v>
      </c>
      <c r="G46" s="4">
        <f t="shared" si="0"/>
        <v>15.792211652794295</v>
      </c>
      <c r="H46" t="s">
        <v>28</v>
      </c>
      <c r="I46" t="s">
        <v>73</v>
      </c>
      <c r="J46">
        <v>107</v>
      </c>
      <c r="K46">
        <v>65</v>
      </c>
      <c r="L46">
        <v>118</v>
      </c>
      <c r="M46">
        <v>3</v>
      </c>
      <c r="N46" s="5">
        <v>9460.19</v>
      </c>
      <c r="O46" t="s">
        <v>23</v>
      </c>
      <c r="P46" t="str">
        <f t="shared" si="1"/>
        <v>Hospital Central de Maputo</v>
      </c>
      <c r="Q46" t="s">
        <v>24</v>
      </c>
      <c r="R46">
        <v>3</v>
      </c>
    </row>
    <row r="47" spans="1:18" x14ac:dyDescent="0.45">
      <c r="A47" t="s">
        <v>122</v>
      </c>
      <c r="B47" s="3">
        <v>45199</v>
      </c>
      <c r="C47">
        <v>45</v>
      </c>
      <c r="D47" t="s">
        <v>20</v>
      </c>
      <c r="E47">
        <v>51.5</v>
      </c>
      <c r="F47">
        <v>169.7</v>
      </c>
      <c r="G47" s="4">
        <f t="shared" si="0"/>
        <v>17.883130443720404</v>
      </c>
      <c r="H47" t="s">
        <v>21</v>
      </c>
      <c r="I47" t="s">
        <v>123</v>
      </c>
      <c r="J47">
        <v>123</v>
      </c>
      <c r="K47">
        <v>74</v>
      </c>
      <c r="L47">
        <v>107</v>
      </c>
      <c r="M47">
        <v>1</v>
      </c>
      <c r="N47" s="5">
        <v>4099.01</v>
      </c>
      <c r="O47" t="s">
        <v>57</v>
      </c>
      <c r="P47" t="str">
        <f t="shared" si="1"/>
        <v>Hospital Provincial de Tete</v>
      </c>
      <c r="Q47" t="s">
        <v>37</v>
      </c>
      <c r="R47">
        <v>5</v>
      </c>
    </row>
    <row r="48" spans="1:18" x14ac:dyDescent="0.45">
      <c r="A48" t="s">
        <v>124</v>
      </c>
      <c r="B48" s="3">
        <v>45545</v>
      </c>
      <c r="C48">
        <v>41</v>
      </c>
      <c r="D48" t="s">
        <v>27</v>
      </c>
      <c r="E48">
        <v>81.900000000000006</v>
      </c>
      <c r="F48">
        <v>176.4</v>
      </c>
      <c r="G48" s="4">
        <f t="shared" si="0"/>
        <v>26.320051830255913</v>
      </c>
      <c r="H48" t="s">
        <v>21</v>
      </c>
      <c r="I48" t="s">
        <v>22</v>
      </c>
      <c r="J48">
        <v>141</v>
      </c>
      <c r="K48">
        <v>87</v>
      </c>
      <c r="L48">
        <v>95</v>
      </c>
      <c r="M48">
        <v>5</v>
      </c>
      <c r="N48" s="5">
        <v>12530.44</v>
      </c>
      <c r="O48" t="s">
        <v>67</v>
      </c>
      <c r="P48" t="str">
        <f t="shared" si="1"/>
        <v>Hospital Provincial de Pemba</v>
      </c>
      <c r="Q48" t="s">
        <v>24</v>
      </c>
      <c r="R48">
        <v>4</v>
      </c>
    </row>
    <row r="49" spans="1:18" x14ac:dyDescent="0.45">
      <c r="A49" t="s">
        <v>125</v>
      </c>
      <c r="B49" s="3">
        <v>45577</v>
      </c>
      <c r="C49">
        <v>20</v>
      </c>
      <c r="D49" t="s">
        <v>27</v>
      </c>
      <c r="E49">
        <v>52.6</v>
      </c>
      <c r="F49">
        <v>164.7</v>
      </c>
      <c r="G49" s="4">
        <f t="shared" si="0"/>
        <v>19.390925857725907</v>
      </c>
      <c r="H49" t="s">
        <v>34</v>
      </c>
      <c r="I49" t="s">
        <v>126</v>
      </c>
      <c r="J49">
        <v>87</v>
      </c>
      <c r="K49">
        <v>55</v>
      </c>
      <c r="L49">
        <v>112</v>
      </c>
      <c r="M49">
        <v>1</v>
      </c>
      <c r="N49" s="5">
        <v>6196</v>
      </c>
      <c r="O49" t="s">
        <v>52</v>
      </c>
      <c r="P49" t="str">
        <f t="shared" si="1"/>
        <v>Hospital Provincial de Chimoio</v>
      </c>
      <c r="Q49" t="s">
        <v>24</v>
      </c>
      <c r="R49">
        <v>4</v>
      </c>
    </row>
    <row r="50" spans="1:18" x14ac:dyDescent="0.45">
      <c r="A50" t="s">
        <v>127</v>
      </c>
      <c r="B50" s="3">
        <v>45258</v>
      </c>
      <c r="C50">
        <v>21</v>
      </c>
      <c r="D50" t="s">
        <v>20</v>
      </c>
      <c r="E50">
        <v>55.8</v>
      </c>
      <c r="F50">
        <v>169.1</v>
      </c>
      <c r="G50" s="4">
        <f t="shared" si="0"/>
        <v>19.514030692982402</v>
      </c>
      <c r="H50" t="s">
        <v>34</v>
      </c>
      <c r="I50" t="s">
        <v>128</v>
      </c>
      <c r="J50">
        <v>95</v>
      </c>
      <c r="K50">
        <v>55</v>
      </c>
      <c r="L50">
        <v>94</v>
      </c>
      <c r="M50">
        <v>1</v>
      </c>
      <c r="N50" s="5">
        <v>5178.59</v>
      </c>
      <c r="O50" t="s">
        <v>51</v>
      </c>
      <c r="P50" t="str">
        <f t="shared" si="1"/>
        <v>Hospital Central de Quelimane</v>
      </c>
      <c r="Q50" t="s">
        <v>24</v>
      </c>
      <c r="R50">
        <v>4</v>
      </c>
    </row>
    <row r="51" spans="1:18" x14ac:dyDescent="0.45">
      <c r="A51" t="s">
        <v>129</v>
      </c>
      <c r="B51" s="3">
        <v>45221</v>
      </c>
      <c r="C51">
        <v>25</v>
      </c>
      <c r="D51" t="s">
        <v>27</v>
      </c>
      <c r="E51">
        <v>61.4</v>
      </c>
      <c r="F51">
        <v>163.19999999999999</v>
      </c>
      <c r="G51" s="4">
        <f t="shared" si="0"/>
        <v>23.053032487504808</v>
      </c>
      <c r="H51" t="s">
        <v>99</v>
      </c>
      <c r="I51" t="s">
        <v>103</v>
      </c>
      <c r="J51">
        <v>99</v>
      </c>
      <c r="K51">
        <v>67</v>
      </c>
      <c r="L51">
        <v>90</v>
      </c>
      <c r="M51">
        <v>1</v>
      </c>
      <c r="N51" s="5">
        <v>3786.96</v>
      </c>
      <c r="O51" t="s">
        <v>67</v>
      </c>
      <c r="P51" t="str">
        <f t="shared" si="1"/>
        <v>Hospital Provincial de Pemba</v>
      </c>
      <c r="Q51" t="s">
        <v>24</v>
      </c>
      <c r="R51">
        <v>3</v>
      </c>
    </row>
    <row r="52" spans="1:18" x14ac:dyDescent="0.45">
      <c r="A52" t="s">
        <v>130</v>
      </c>
      <c r="B52" s="3">
        <v>45225</v>
      </c>
      <c r="C52">
        <v>18</v>
      </c>
      <c r="D52" t="s">
        <v>27</v>
      </c>
      <c r="E52">
        <v>52.8</v>
      </c>
      <c r="F52">
        <v>164.1</v>
      </c>
      <c r="G52" s="4">
        <f t="shared" si="0"/>
        <v>19.607253346880164</v>
      </c>
      <c r="H52" t="s">
        <v>91</v>
      </c>
      <c r="I52" t="s">
        <v>131</v>
      </c>
      <c r="J52">
        <v>103</v>
      </c>
      <c r="K52">
        <v>70</v>
      </c>
      <c r="L52">
        <v>77</v>
      </c>
      <c r="M52">
        <v>8</v>
      </c>
      <c r="N52" s="5">
        <v>24554.46</v>
      </c>
      <c r="O52" t="s">
        <v>63</v>
      </c>
      <c r="P52" t="str">
        <f t="shared" si="1"/>
        <v>Hospital Central de Nampula</v>
      </c>
      <c r="Q52" t="s">
        <v>24</v>
      </c>
      <c r="R52">
        <v>5</v>
      </c>
    </row>
    <row r="53" spans="1:18" x14ac:dyDescent="0.45">
      <c r="A53" t="s">
        <v>132</v>
      </c>
      <c r="B53" s="3">
        <v>45446</v>
      </c>
      <c r="C53">
        <v>25</v>
      </c>
      <c r="D53" t="s">
        <v>27</v>
      </c>
      <c r="E53">
        <v>72.599999999999994</v>
      </c>
      <c r="F53">
        <v>170.4</v>
      </c>
      <c r="G53" s="4">
        <f t="shared" si="0"/>
        <v>25.003306222310385</v>
      </c>
      <c r="H53" t="s">
        <v>99</v>
      </c>
      <c r="I53" t="s">
        <v>100</v>
      </c>
      <c r="J53">
        <v>100</v>
      </c>
      <c r="K53">
        <v>56</v>
      </c>
      <c r="L53">
        <v>90</v>
      </c>
      <c r="M53">
        <v>5</v>
      </c>
      <c r="N53" s="5">
        <v>12329.76</v>
      </c>
      <c r="O53" t="s">
        <v>63</v>
      </c>
      <c r="P53" t="str">
        <f t="shared" si="1"/>
        <v>Hospital Central de Nampula</v>
      </c>
      <c r="Q53" t="s">
        <v>76</v>
      </c>
      <c r="R53">
        <v>3</v>
      </c>
    </row>
    <row r="54" spans="1:18" x14ac:dyDescent="0.45">
      <c r="A54" t="s">
        <v>133</v>
      </c>
      <c r="B54" s="3">
        <v>45319</v>
      </c>
      <c r="C54">
        <v>21</v>
      </c>
      <c r="D54" t="s">
        <v>27</v>
      </c>
      <c r="E54">
        <v>57.9</v>
      </c>
      <c r="F54">
        <v>167.2</v>
      </c>
      <c r="G54" s="4">
        <f t="shared" si="0"/>
        <v>20.711236006501682</v>
      </c>
      <c r="H54" t="s">
        <v>99</v>
      </c>
      <c r="I54" t="s">
        <v>100</v>
      </c>
      <c r="J54">
        <v>87</v>
      </c>
      <c r="K54">
        <v>55</v>
      </c>
      <c r="L54">
        <v>105</v>
      </c>
      <c r="M54">
        <v>6</v>
      </c>
      <c r="N54" s="5">
        <v>21070.81</v>
      </c>
      <c r="O54" t="s">
        <v>23</v>
      </c>
      <c r="P54" t="str">
        <f t="shared" si="1"/>
        <v>Hospital Central de Maputo</v>
      </c>
      <c r="Q54" t="s">
        <v>24</v>
      </c>
      <c r="R54">
        <v>4</v>
      </c>
    </row>
    <row r="55" spans="1:18" x14ac:dyDescent="0.45">
      <c r="A55" t="s">
        <v>134</v>
      </c>
      <c r="B55" s="3">
        <v>45029</v>
      </c>
      <c r="C55">
        <v>40</v>
      </c>
      <c r="D55" t="s">
        <v>27</v>
      </c>
      <c r="E55">
        <v>49.2</v>
      </c>
      <c r="F55">
        <v>162.19999999999999</v>
      </c>
      <c r="G55" s="4">
        <f t="shared" si="0"/>
        <v>18.700938543850665</v>
      </c>
      <c r="H55" t="s">
        <v>21</v>
      </c>
      <c r="I55" t="s">
        <v>70</v>
      </c>
      <c r="J55">
        <v>125</v>
      </c>
      <c r="K55">
        <v>81</v>
      </c>
      <c r="L55">
        <v>116</v>
      </c>
      <c r="M55">
        <v>13</v>
      </c>
      <c r="N55" s="5">
        <v>24570.37</v>
      </c>
      <c r="O55" t="s">
        <v>51</v>
      </c>
      <c r="P55" t="str">
        <f t="shared" si="1"/>
        <v>Hospital Central de Quelimane</v>
      </c>
      <c r="Q55" t="s">
        <v>37</v>
      </c>
      <c r="R55">
        <v>5</v>
      </c>
    </row>
    <row r="56" spans="1:18" x14ac:dyDescent="0.45">
      <c r="A56" t="s">
        <v>135</v>
      </c>
      <c r="B56" s="3">
        <v>45473</v>
      </c>
      <c r="C56">
        <v>18</v>
      </c>
      <c r="D56" t="s">
        <v>27</v>
      </c>
      <c r="E56">
        <v>66.3</v>
      </c>
      <c r="F56">
        <v>149.5</v>
      </c>
      <c r="G56" s="4">
        <f t="shared" si="0"/>
        <v>29.664097717027769</v>
      </c>
      <c r="H56" t="s">
        <v>34</v>
      </c>
      <c r="I56" t="s">
        <v>35</v>
      </c>
      <c r="J56">
        <v>104</v>
      </c>
      <c r="K56">
        <v>72</v>
      </c>
      <c r="L56">
        <v>98</v>
      </c>
      <c r="M56">
        <v>10</v>
      </c>
      <c r="N56" s="5">
        <v>34855.769999999997</v>
      </c>
      <c r="O56" t="s">
        <v>43</v>
      </c>
      <c r="P56" t="str">
        <f t="shared" si="1"/>
        <v>Hospital Central da Beira</v>
      </c>
      <c r="Q56" t="s">
        <v>24</v>
      </c>
      <c r="R56">
        <v>4</v>
      </c>
    </row>
    <row r="57" spans="1:18" x14ac:dyDescent="0.45">
      <c r="A57" t="s">
        <v>136</v>
      </c>
      <c r="B57" s="3">
        <v>45029</v>
      </c>
      <c r="C57">
        <v>9</v>
      </c>
      <c r="D57" t="s">
        <v>27</v>
      </c>
      <c r="E57">
        <v>29.1</v>
      </c>
      <c r="F57">
        <v>146</v>
      </c>
      <c r="G57" s="4">
        <f t="shared" si="0"/>
        <v>13.651717020078816</v>
      </c>
      <c r="H57" t="s">
        <v>28</v>
      </c>
      <c r="I57" t="s">
        <v>29</v>
      </c>
      <c r="J57">
        <v>100</v>
      </c>
      <c r="K57">
        <v>67</v>
      </c>
      <c r="L57">
        <v>100</v>
      </c>
      <c r="M57">
        <v>3</v>
      </c>
      <c r="N57" s="5">
        <v>9295.33</v>
      </c>
      <c r="O57" t="s">
        <v>23</v>
      </c>
      <c r="P57" t="str">
        <f t="shared" si="1"/>
        <v>Hospital Central de Maputo</v>
      </c>
      <c r="Q57" t="s">
        <v>37</v>
      </c>
      <c r="R57">
        <v>4</v>
      </c>
    </row>
    <row r="58" spans="1:18" x14ac:dyDescent="0.45">
      <c r="A58" t="s">
        <v>137</v>
      </c>
      <c r="B58" s="3">
        <v>45173</v>
      </c>
      <c r="C58">
        <v>54</v>
      </c>
      <c r="D58" t="s">
        <v>27</v>
      </c>
      <c r="E58">
        <v>81</v>
      </c>
      <c r="F58">
        <v>164.4</v>
      </c>
      <c r="G58" s="4">
        <f t="shared" si="0"/>
        <v>29.969630774148861</v>
      </c>
      <c r="H58" t="s">
        <v>34</v>
      </c>
      <c r="I58" t="s">
        <v>138</v>
      </c>
      <c r="J58">
        <v>104</v>
      </c>
      <c r="K58">
        <v>66</v>
      </c>
      <c r="L58">
        <v>107</v>
      </c>
      <c r="M58">
        <v>1</v>
      </c>
      <c r="N58" s="5">
        <v>2986.15</v>
      </c>
      <c r="O58" t="s">
        <v>67</v>
      </c>
      <c r="P58" t="str">
        <f t="shared" si="1"/>
        <v>Hospital Provincial de Pemba</v>
      </c>
      <c r="Q58" t="s">
        <v>76</v>
      </c>
      <c r="R58">
        <v>3</v>
      </c>
    </row>
    <row r="59" spans="1:18" x14ac:dyDescent="0.45">
      <c r="A59" t="s">
        <v>139</v>
      </c>
      <c r="B59" s="3">
        <v>45361</v>
      </c>
      <c r="C59">
        <v>26</v>
      </c>
      <c r="D59" t="s">
        <v>27</v>
      </c>
      <c r="E59">
        <v>75.2</v>
      </c>
      <c r="F59">
        <v>165.8</v>
      </c>
      <c r="G59" s="4">
        <f t="shared" si="0"/>
        <v>27.355760206390478</v>
      </c>
      <c r="H59" t="s">
        <v>41</v>
      </c>
      <c r="I59" t="s">
        <v>42</v>
      </c>
      <c r="J59">
        <v>101</v>
      </c>
      <c r="K59">
        <v>63</v>
      </c>
      <c r="L59">
        <v>67</v>
      </c>
      <c r="M59">
        <v>19</v>
      </c>
      <c r="N59" s="5">
        <v>33633.21</v>
      </c>
      <c r="O59" t="s">
        <v>51</v>
      </c>
      <c r="P59" t="str">
        <f t="shared" si="1"/>
        <v>Hospital Central de Quelimane</v>
      </c>
      <c r="Q59" t="s">
        <v>24</v>
      </c>
      <c r="R59">
        <v>4</v>
      </c>
    </row>
    <row r="60" spans="1:18" x14ac:dyDescent="0.45">
      <c r="A60" t="s">
        <v>140</v>
      </c>
      <c r="B60" s="3">
        <v>45629</v>
      </c>
      <c r="C60">
        <v>28</v>
      </c>
      <c r="D60" t="s">
        <v>20</v>
      </c>
      <c r="E60">
        <v>41.5</v>
      </c>
      <c r="F60">
        <v>172.7</v>
      </c>
      <c r="G60" s="4">
        <f t="shared" si="0"/>
        <v>13.914365962577399</v>
      </c>
      <c r="H60" t="s">
        <v>34</v>
      </c>
      <c r="I60" t="s">
        <v>35</v>
      </c>
      <c r="J60">
        <v>112</v>
      </c>
      <c r="K60">
        <v>65</v>
      </c>
      <c r="L60">
        <v>92</v>
      </c>
      <c r="M60">
        <v>1</v>
      </c>
      <c r="N60" s="5">
        <v>4418.7299999999996</v>
      </c>
      <c r="O60" t="s">
        <v>51</v>
      </c>
      <c r="P60" t="str">
        <f t="shared" si="1"/>
        <v>Hospital Central de Quelimane</v>
      </c>
      <c r="Q60" t="s">
        <v>24</v>
      </c>
      <c r="R60">
        <v>3</v>
      </c>
    </row>
    <row r="61" spans="1:18" x14ac:dyDescent="0.45">
      <c r="A61" t="s">
        <v>141</v>
      </c>
      <c r="B61" s="3">
        <v>45026</v>
      </c>
      <c r="C61">
        <v>26</v>
      </c>
      <c r="D61" t="s">
        <v>20</v>
      </c>
      <c r="E61">
        <v>66.400000000000006</v>
      </c>
      <c r="F61">
        <v>171.4</v>
      </c>
      <c r="G61" s="4">
        <f t="shared" si="0"/>
        <v>22.601977809214802</v>
      </c>
      <c r="H61" t="s">
        <v>91</v>
      </c>
      <c r="I61" t="s">
        <v>131</v>
      </c>
      <c r="J61">
        <v>128</v>
      </c>
      <c r="K61">
        <v>89</v>
      </c>
      <c r="L61">
        <v>79</v>
      </c>
      <c r="M61">
        <v>1</v>
      </c>
      <c r="N61" s="5">
        <v>6026.01</v>
      </c>
      <c r="O61" t="s">
        <v>30</v>
      </c>
      <c r="P61" t="str">
        <f t="shared" si="1"/>
        <v>Hospital Provincial de Inhambane</v>
      </c>
      <c r="Q61" t="s">
        <v>24</v>
      </c>
      <c r="R61">
        <v>3</v>
      </c>
    </row>
    <row r="62" spans="1:18" x14ac:dyDescent="0.45">
      <c r="A62" t="s">
        <v>142</v>
      </c>
      <c r="B62" s="3">
        <v>45095</v>
      </c>
      <c r="C62">
        <v>53</v>
      </c>
      <c r="D62" t="s">
        <v>27</v>
      </c>
      <c r="E62">
        <v>62</v>
      </c>
      <c r="F62">
        <v>170.4</v>
      </c>
      <c r="G62" s="4">
        <f t="shared" si="0"/>
        <v>21.352685754590137</v>
      </c>
      <c r="H62" t="s">
        <v>34</v>
      </c>
      <c r="I62" t="s">
        <v>35</v>
      </c>
      <c r="J62">
        <v>136</v>
      </c>
      <c r="K62">
        <v>76</v>
      </c>
      <c r="L62">
        <v>84</v>
      </c>
      <c r="M62">
        <v>5</v>
      </c>
      <c r="N62" s="5">
        <v>9791.17</v>
      </c>
      <c r="O62" t="s">
        <v>51</v>
      </c>
      <c r="P62" t="str">
        <f t="shared" si="1"/>
        <v>Hospital Central de Quelimane</v>
      </c>
      <c r="Q62" t="s">
        <v>24</v>
      </c>
      <c r="R62">
        <v>5</v>
      </c>
    </row>
    <row r="63" spans="1:18" x14ac:dyDescent="0.45">
      <c r="A63" t="s">
        <v>143</v>
      </c>
      <c r="B63" s="3">
        <v>45497</v>
      </c>
      <c r="C63">
        <v>39</v>
      </c>
      <c r="D63" t="s">
        <v>27</v>
      </c>
      <c r="E63">
        <v>65.3</v>
      </c>
      <c r="F63">
        <v>174.1</v>
      </c>
      <c r="G63" s="4">
        <f t="shared" si="0"/>
        <v>21.543469145166366</v>
      </c>
      <c r="H63" t="s">
        <v>21</v>
      </c>
      <c r="I63" t="s">
        <v>89</v>
      </c>
      <c r="J63">
        <v>123</v>
      </c>
      <c r="K63">
        <v>78</v>
      </c>
      <c r="L63">
        <v>78</v>
      </c>
      <c r="M63">
        <v>6</v>
      </c>
      <c r="N63" s="5">
        <v>19311.900000000001</v>
      </c>
      <c r="O63" t="s">
        <v>31</v>
      </c>
      <c r="P63" t="str">
        <f t="shared" si="1"/>
        <v>Hospital Provincial da Matola</v>
      </c>
      <c r="Q63" t="s">
        <v>24</v>
      </c>
      <c r="R63">
        <v>5</v>
      </c>
    </row>
    <row r="64" spans="1:18" x14ac:dyDescent="0.45">
      <c r="A64" t="s">
        <v>144</v>
      </c>
      <c r="B64" s="3">
        <v>45501</v>
      </c>
      <c r="C64">
        <v>18</v>
      </c>
      <c r="D64" t="s">
        <v>27</v>
      </c>
      <c r="E64">
        <v>50.4</v>
      </c>
      <c r="F64">
        <v>155.30000000000001</v>
      </c>
      <c r="G64" s="4">
        <f t="shared" si="0"/>
        <v>20.897177181111768</v>
      </c>
      <c r="H64" t="s">
        <v>34</v>
      </c>
      <c r="I64" t="s">
        <v>138</v>
      </c>
      <c r="J64">
        <v>89</v>
      </c>
      <c r="K64">
        <v>57</v>
      </c>
      <c r="L64">
        <v>82</v>
      </c>
      <c r="M64">
        <v>1</v>
      </c>
      <c r="N64" s="5">
        <v>4672.96</v>
      </c>
      <c r="O64" t="s">
        <v>23</v>
      </c>
      <c r="P64" t="str">
        <f t="shared" si="1"/>
        <v>Hospital Central de Maputo</v>
      </c>
      <c r="Q64" t="s">
        <v>24</v>
      </c>
      <c r="R64">
        <v>4</v>
      </c>
    </row>
    <row r="65" spans="1:18" x14ac:dyDescent="0.45">
      <c r="A65" t="s">
        <v>145</v>
      </c>
      <c r="B65" s="3">
        <v>45324</v>
      </c>
      <c r="C65">
        <v>31</v>
      </c>
      <c r="D65" t="s">
        <v>27</v>
      </c>
      <c r="E65">
        <v>53.9</v>
      </c>
      <c r="F65">
        <v>150.6</v>
      </c>
      <c r="G65" s="4">
        <f t="shared" si="0"/>
        <v>23.765054875672167</v>
      </c>
      <c r="H65" t="s">
        <v>91</v>
      </c>
      <c r="I65" t="s">
        <v>131</v>
      </c>
      <c r="J65">
        <v>125</v>
      </c>
      <c r="K65">
        <v>71</v>
      </c>
      <c r="L65">
        <v>101</v>
      </c>
      <c r="M65">
        <v>11</v>
      </c>
      <c r="N65" s="5">
        <v>19717.3</v>
      </c>
      <c r="O65" t="s">
        <v>31</v>
      </c>
      <c r="P65" t="str">
        <f t="shared" si="1"/>
        <v>Hospital Provincial da Matola</v>
      </c>
      <c r="Q65" t="s">
        <v>24</v>
      </c>
      <c r="R65">
        <v>3</v>
      </c>
    </row>
    <row r="66" spans="1:18" x14ac:dyDescent="0.45">
      <c r="A66" t="s">
        <v>146</v>
      </c>
      <c r="B66" s="3">
        <v>45298</v>
      </c>
      <c r="C66">
        <v>18</v>
      </c>
      <c r="D66" t="s">
        <v>20</v>
      </c>
      <c r="E66">
        <v>54.9</v>
      </c>
      <c r="F66">
        <v>140</v>
      </c>
      <c r="G66" s="4">
        <f t="shared" ref="G66:G129" si="2">E66/((F66/100)^2)</f>
        <v>28.010204081632654</v>
      </c>
      <c r="H66" t="s">
        <v>34</v>
      </c>
      <c r="I66" t="s">
        <v>126</v>
      </c>
      <c r="J66">
        <v>99</v>
      </c>
      <c r="K66">
        <v>66</v>
      </c>
      <c r="L66">
        <v>91</v>
      </c>
      <c r="M66">
        <v>7</v>
      </c>
      <c r="N66" s="5">
        <v>16275.53</v>
      </c>
      <c r="O66" t="s">
        <v>51</v>
      </c>
      <c r="P66" t="str">
        <f t="shared" ref="P66:P129" si="3">INDEX($U$2:$U$12,MATCH(O66,$T$2:$T$12,0))</f>
        <v>Hospital Central de Quelimane</v>
      </c>
      <c r="Q66" t="s">
        <v>24</v>
      </c>
      <c r="R66">
        <v>1</v>
      </c>
    </row>
    <row r="67" spans="1:18" x14ac:dyDescent="0.45">
      <c r="A67" t="s">
        <v>147</v>
      </c>
      <c r="B67" s="3">
        <v>45268</v>
      </c>
      <c r="C67">
        <v>46</v>
      </c>
      <c r="D67" t="s">
        <v>20</v>
      </c>
      <c r="E67">
        <v>72.5</v>
      </c>
      <c r="F67">
        <v>176.9</v>
      </c>
      <c r="G67" s="4">
        <f t="shared" si="2"/>
        <v>23.167669054481088</v>
      </c>
      <c r="H67" t="s">
        <v>34</v>
      </c>
      <c r="I67" t="s">
        <v>138</v>
      </c>
      <c r="J67">
        <v>120</v>
      </c>
      <c r="K67">
        <v>78</v>
      </c>
      <c r="L67">
        <v>101</v>
      </c>
      <c r="M67">
        <v>1</v>
      </c>
      <c r="N67" s="5">
        <v>3580.01</v>
      </c>
      <c r="O67" t="s">
        <v>63</v>
      </c>
      <c r="P67" t="str">
        <f t="shared" si="3"/>
        <v>Hospital Central de Nampula</v>
      </c>
      <c r="Q67" t="s">
        <v>24</v>
      </c>
      <c r="R67">
        <v>3</v>
      </c>
    </row>
    <row r="68" spans="1:18" x14ac:dyDescent="0.45">
      <c r="A68" t="s">
        <v>148</v>
      </c>
      <c r="B68" s="3">
        <v>45183</v>
      </c>
      <c r="C68">
        <v>26</v>
      </c>
      <c r="D68" t="s">
        <v>20</v>
      </c>
      <c r="E68">
        <v>72.3</v>
      </c>
      <c r="F68">
        <v>168.7</v>
      </c>
      <c r="G68" s="4">
        <f t="shared" si="2"/>
        <v>25.404352612414264</v>
      </c>
      <c r="H68" t="s">
        <v>21</v>
      </c>
      <c r="I68" t="s">
        <v>22</v>
      </c>
      <c r="J68">
        <v>139</v>
      </c>
      <c r="K68">
        <v>78</v>
      </c>
      <c r="L68">
        <v>102</v>
      </c>
      <c r="M68">
        <v>1</v>
      </c>
      <c r="N68" s="5">
        <v>2820.52</v>
      </c>
      <c r="O68" t="s">
        <v>23</v>
      </c>
      <c r="P68" t="str">
        <f t="shared" si="3"/>
        <v>Hospital Central de Maputo</v>
      </c>
      <c r="Q68" t="s">
        <v>24</v>
      </c>
      <c r="R68">
        <v>4</v>
      </c>
    </row>
    <row r="69" spans="1:18" x14ac:dyDescent="0.45">
      <c r="A69" t="s">
        <v>149</v>
      </c>
      <c r="B69" s="3">
        <v>45534</v>
      </c>
      <c r="C69">
        <v>39</v>
      </c>
      <c r="D69" t="s">
        <v>20</v>
      </c>
      <c r="E69">
        <v>62.8</v>
      </c>
      <c r="F69">
        <v>165.5</v>
      </c>
      <c r="G69" s="4">
        <f t="shared" si="2"/>
        <v>22.927866667883642</v>
      </c>
      <c r="H69" t="s">
        <v>41</v>
      </c>
      <c r="I69" t="s">
        <v>113</v>
      </c>
      <c r="J69">
        <v>145</v>
      </c>
      <c r="K69">
        <v>78</v>
      </c>
      <c r="L69">
        <v>70</v>
      </c>
      <c r="M69">
        <v>13</v>
      </c>
      <c r="N69" s="5">
        <v>15603.52</v>
      </c>
      <c r="O69" t="s">
        <v>43</v>
      </c>
      <c r="P69" t="str">
        <f t="shared" si="3"/>
        <v>Hospital Central da Beira</v>
      </c>
      <c r="Q69" t="s">
        <v>24</v>
      </c>
      <c r="R69">
        <v>4</v>
      </c>
    </row>
    <row r="70" spans="1:18" x14ac:dyDescent="0.45">
      <c r="A70" t="s">
        <v>150</v>
      </c>
      <c r="B70" s="3">
        <v>45381</v>
      </c>
      <c r="C70">
        <v>25</v>
      </c>
      <c r="D70" t="s">
        <v>27</v>
      </c>
      <c r="E70">
        <v>61.2</v>
      </c>
      <c r="F70">
        <v>160.4</v>
      </c>
      <c r="G70" s="4">
        <f t="shared" si="2"/>
        <v>23.787165502702095</v>
      </c>
      <c r="H70" t="s">
        <v>99</v>
      </c>
      <c r="I70" t="s">
        <v>151</v>
      </c>
      <c r="J70">
        <v>107</v>
      </c>
      <c r="K70">
        <v>74</v>
      </c>
      <c r="L70">
        <v>73</v>
      </c>
      <c r="M70">
        <v>20</v>
      </c>
      <c r="N70" s="5">
        <v>44412.13</v>
      </c>
      <c r="O70" t="s">
        <v>57</v>
      </c>
      <c r="P70" t="str">
        <f t="shared" si="3"/>
        <v>Hospital Provincial de Tete</v>
      </c>
      <c r="Q70" t="s">
        <v>24</v>
      </c>
      <c r="R70">
        <v>5</v>
      </c>
    </row>
    <row r="71" spans="1:18" x14ac:dyDescent="0.45">
      <c r="A71" t="s">
        <v>152</v>
      </c>
      <c r="B71" s="3">
        <v>45597</v>
      </c>
      <c r="C71">
        <v>33</v>
      </c>
      <c r="D71" t="s">
        <v>20</v>
      </c>
      <c r="E71">
        <v>75.599999999999994</v>
      </c>
      <c r="F71">
        <v>148.5</v>
      </c>
      <c r="G71" s="4">
        <f t="shared" si="2"/>
        <v>34.28221610039791</v>
      </c>
      <c r="H71" t="s">
        <v>41</v>
      </c>
      <c r="I71" t="s">
        <v>113</v>
      </c>
      <c r="J71">
        <v>122</v>
      </c>
      <c r="K71">
        <v>81</v>
      </c>
      <c r="L71">
        <v>83</v>
      </c>
      <c r="M71">
        <v>1</v>
      </c>
      <c r="N71" s="5">
        <v>5822.41</v>
      </c>
      <c r="O71" t="s">
        <v>43</v>
      </c>
      <c r="P71" t="str">
        <f t="shared" si="3"/>
        <v>Hospital Central da Beira</v>
      </c>
      <c r="Q71" t="s">
        <v>24</v>
      </c>
      <c r="R71">
        <v>2</v>
      </c>
    </row>
    <row r="72" spans="1:18" x14ac:dyDescent="0.45">
      <c r="A72" t="s">
        <v>153</v>
      </c>
      <c r="B72" s="3">
        <v>45369</v>
      </c>
      <c r="C72">
        <v>51</v>
      </c>
      <c r="D72" t="s">
        <v>20</v>
      </c>
      <c r="E72">
        <v>49.8</v>
      </c>
      <c r="F72">
        <v>167.3</v>
      </c>
      <c r="G72" s="4">
        <f t="shared" si="2"/>
        <v>17.792519924585438</v>
      </c>
      <c r="H72" t="s">
        <v>46</v>
      </c>
      <c r="I72" t="s">
        <v>108</v>
      </c>
      <c r="J72">
        <v>107</v>
      </c>
      <c r="K72">
        <v>62</v>
      </c>
      <c r="L72">
        <v>86</v>
      </c>
      <c r="M72">
        <v>1</v>
      </c>
      <c r="N72" s="5">
        <v>5356.16</v>
      </c>
      <c r="O72" t="s">
        <v>63</v>
      </c>
      <c r="P72" t="str">
        <f t="shared" si="3"/>
        <v>Hospital Central de Nampula</v>
      </c>
      <c r="Q72" t="s">
        <v>24</v>
      </c>
      <c r="R72">
        <v>5</v>
      </c>
    </row>
    <row r="73" spans="1:18" x14ac:dyDescent="0.45">
      <c r="A73" t="s">
        <v>154</v>
      </c>
      <c r="B73" s="3">
        <v>45541</v>
      </c>
      <c r="C73">
        <v>45</v>
      </c>
      <c r="D73" t="s">
        <v>27</v>
      </c>
      <c r="E73">
        <v>75.400000000000006</v>
      </c>
      <c r="F73">
        <v>168.8</v>
      </c>
      <c r="G73" s="4">
        <f t="shared" si="2"/>
        <v>26.46223130657442</v>
      </c>
      <c r="H73" t="s">
        <v>91</v>
      </c>
      <c r="I73" t="s">
        <v>110</v>
      </c>
      <c r="J73">
        <v>124</v>
      </c>
      <c r="K73">
        <v>72</v>
      </c>
      <c r="L73">
        <v>82</v>
      </c>
      <c r="M73">
        <v>1</v>
      </c>
      <c r="N73" s="5">
        <v>3350.41</v>
      </c>
      <c r="O73" t="s">
        <v>57</v>
      </c>
      <c r="P73" t="str">
        <f t="shared" si="3"/>
        <v>Hospital Provincial de Tete</v>
      </c>
      <c r="Q73" t="s">
        <v>24</v>
      </c>
      <c r="R73">
        <v>4</v>
      </c>
    </row>
    <row r="74" spans="1:18" x14ac:dyDescent="0.45">
      <c r="A74" t="s">
        <v>155</v>
      </c>
      <c r="B74" s="3">
        <v>45618</v>
      </c>
      <c r="C74">
        <v>35</v>
      </c>
      <c r="D74" t="s">
        <v>20</v>
      </c>
      <c r="E74">
        <v>65.7</v>
      </c>
      <c r="F74">
        <v>170.1</v>
      </c>
      <c r="G74" s="4">
        <f t="shared" si="2"/>
        <v>22.70684222477286</v>
      </c>
      <c r="H74" t="s">
        <v>55</v>
      </c>
      <c r="I74" t="s">
        <v>62</v>
      </c>
      <c r="J74">
        <v>116</v>
      </c>
      <c r="K74">
        <v>58</v>
      </c>
      <c r="L74">
        <v>82</v>
      </c>
      <c r="M74">
        <v>1</v>
      </c>
      <c r="N74" s="5">
        <v>4727.6099999999997</v>
      </c>
      <c r="O74" t="s">
        <v>51</v>
      </c>
      <c r="P74" t="str">
        <f t="shared" si="3"/>
        <v>Hospital Central de Quelimane</v>
      </c>
      <c r="Q74" t="s">
        <v>76</v>
      </c>
      <c r="R74">
        <v>2</v>
      </c>
    </row>
    <row r="75" spans="1:18" x14ac:dyDescent="0.45">
      <c r="A75" t="s">
        <v>156</v>
      </c>
      <c r="B75" s="3">
        <v>45470</v>
      </c>
      <c r="C75">
        <v>46</v>
      </c>
      <c r="D75" t="s">
        <v>20</v>
      </c>
      <c r="E75">
        <v>73.7</v>
      </c>
      <c r="F75">
        <v>158.30000000000001</v>
      </c>
      <c r="G75" s="4">
        <f t="shared" si="2"/>
        <v>29.410720107714262</v>
      </c>
      <c r="H75" t="s">
        <v>91</v>
      </c>
      <c r="I75" t="s">
        <v>131</v>
      </c>
      <c r="J75">
        <v>114</v>
      </c>
      <c r="K75">
        <v>60</v>
      </c>
      <c r="L75">
        <v>83</v>
      </c>
      <c r="M75">
        <v>1</v>
      </c>
      <c r="N75" s="5">
        <v>3777.34</v>
      </c>
      <c r="O75" t="s">
        <v>51</v>
      </c>
      <c r="P75" t="str">
        <f t="shared" si="3"/>
        <v>Hospital Central de Quelimane</v>
      </c>
      <c r="Q75" t="s">
        <v>24</v>
      </c>
      <c r="R75">
        <v>4</v>
      </c>
    </row>
    <row r="76" spans="1:18" x14ac:dyDescent="0.45">
      <c r="A76" t="s">
        <v>157</v>
      </c>
      <c r="B76" s="3">
        <v>45424</v>
      </c>
      <c r="C76">
        <v>35</v>
      </c>
      <c r="D76" t="s">
        <v>27</v>
      </c>
      <c r="E76">
        <v>58.1</v>
      </c>
      <c r="F76">
        <v>163.1</v>
      </c>
      <c r="G76" s="4">
        <f t="shared" si="2"/>
        <v>21.840783321009518</v>
      </c>
      <c r="H76" t="s">
        <v>91</v>
      </c>
      <c r="I76" t="s">
        <v>110</v>
      </c>
      <c r="J76">
        <v>105</v>
      </c>
      <c r="K76">
        <v>67</v>
      </c>
      <c r="L76">
        <v>80</v>
      </c>
      <c r="M76">
        <v>4</v>
      </c>
      <c r="N76" s="5">
        <v>5843.16</v>
      </c>
      <c r="O76" t="s">
        <v>57</v>
      </c>
      <c r="P76" t="str">
        <f t="shared" si="3"/>
        <v>Hospital Provincial de Tete</v>
      </c>
      <c r="Q76" t="s">
        <v>24</v>
      </c>
      <c r="R76">
        <v>4</v>
      </c>
    </row>
    <row r="77" spans="1:18" x14ac:dyDescent="0.45">
      <c r="A77" t="s">
        <v>158</v>
      </c>
      <c r="B77" s="3">
        <v>45143</v>
      </c>
      <c r="C77">
        <v>20</v>
      </c>
      <c r="D77" t="s">
        <v>20</v>
      </c>
      <c r="E77">
        <v>65.3</v>
      </c>
      <c r="F77">
        <v>162.5</v>
      </c>
      <c r="G77" s="4">
        <f t="shared" si="2"/>
        <v>24.728994082840234</v>
      </c>
      <c r="H77" t="s">
        <v>46</v>
      </c>
      <c r="I77" t="s">
        <v>108</v>
      </c>
      <c r="J77">
        <v>107</v>
      </c>
      <c r="K77">
        <v>62</v>
      </c>
      <c r="L77">
        <v>67</v>
      </c>
      <c r="M77">
        <v>2</v>
      </c>
      <c r="N77" s="5">
        <v>8732.65</v>
      </c>
      <c r="O77" t="s">
        <v>23</v>
      </c>
      <c r="P77" t="str">
        <f t="shared" si="3"/>
        <v>Hospital Central de Maputo</v>
      </c>
      <c r="Q77" t="s">
        <v>37</v>
      </c>
      <c r="R77">
        <v>2</v>
      </c>
    </row>
    <row r="78" spans="1:18" x14ac:dyDescent="0.45">
      <c r="A78" t="s">
        <v>159</v>
      </c>
      <c r="B78" s="3">
        <v>44946</v>
      </c>
      <c r="C78">
        <v>56</v>
      </c>
      <c r="D78" t="s">
        <v>27</v>
      </c>
      <c r="E78">
        <v>56.8</v>
      </c>
      <c r="F78">
        <v>152.6</v>
      </c>
      <c r="G78" s="4">
        <f t="shared" si="2"/>
        <v>24.391542662010512</v>
      </c>
      <c r="H78" t="s">
        <v>34</v>
      </c>
      <c r="I78" t="s">
        <v>126</v>
      </c>
      <c r="J78">
        <v>119</v>
      </c>
      <c r="K78">
        <v>67</v>
      </c>
      <c r="L78">
        <v>94</v>
      </c>
      <c r="M78">
        <v>1</v>
      </c>
      <c r="N78" s="5">
        <v>5259.23</v>
      </c>
      <c r="O78" t="s">
        <v>63</v>
      </c>
      <c r="P78" t="str">
        <f t="shared" si="3"/>
        <v>Hospital Central de Nampula</v>
      </c>
      <c r="Q78" t="s">
        <v>37</v>
      </c>
      <c r="R78">
        <v>2</v>
      </c>
    </row>
    <row r="79" spans="1:18" x14ac:dyDescent="0.45">
      <c r="A79" t="s">
        <v>160</v>
      </c>
      <c r="B79" s="3">
        <v>45035</v>
      </c>
      <c r="C79">
        <v>40</v>
      </c>
      <c r="D79" t="s">
        <v>20</v>
      </c>
      <c r="E79">
        <v>62.2</v>
      </c>
      <c r="F79">
        <v>154.1</v>
      </c>
      <c r="G79" s="4">
        <f t="shared" si="2"/>
        <v>26.192991816585053</v>
      </c>
      <c r="H79" t="s">
        <v>41</v>
      </c>
      <c r="I79" t="s">
        <v>161</v>
      </c>
      <c r="J79">
        <v>111</v>
      </c>
      <c r="K79">
        <v>73</v>
      </c>
      <c r="L79">
        <v>84</v>
      </c>
      <c r="M79">
        <v>2</v>
      </c>
      <c r="N79" s="5">
        <v>4505.37</v>
      </c>
      <c r="O79" t="s">
        <v>63</v>
      </c>
      <c r="P79" t="str">
        <f t="shared" si="3"/>
        <v>Hospital Central de Nampula</v>
      </c>
      <c r="Q79" t="s">
        <v>24</v>
      </c>
      <c r="R79">
        <v>5</v>
      </c>
    </row>
    <row r="80" spans="1:18" x14ac:dyDescent="0.45">
      <c r="A80" t="s">
        <v>162</v>
      </c>
      <c r="B80" s="3">
        <v>45587</v>
      </c>
      <c r="C80">
        <v>4</v>
      </c>
      <c r="D80" t="s">
        <v>20</v>
      </c>
      <c r="E80">
        <v>28.4</v>
      </c>
      <c r="F80">
        <v>117.6</v>
      </c>
      <c r="G80" s="4">
        <f t="shared" si="2"/>
        <v>20.535425054375494</v>
      </c>
      <c r="H80" t="s">
        <v>28</v>
      </c>
      <c r="I80" t="s">
        <v>50</v>
      </c>
      <c r="J80">
        <v>117</v>
      </c>
      <c r="K80">
        <v>73</v>
      </c>
      <c r="L80">
        <v>65</v>
      </c>
      <c r="M80">
        <v>1</v>
      </c>
      <c r="N80" s="5">
        <v>4809.3100000000004</v>
      </c>
      <c r="O80" t="s">
        <v>51</v>
      </c>
      <c r="P80" t="str">
        <f t="shared" si="3"/>
        <v>Hospital Central de Quelimane</v>
      </c>
      <c r="Q80" t="s">
        <v>24</v>
      </c>
      <c r="R80">
        <v>4</v>
      </c>
    </row>
    <row r="81" spans="1:18" x14ac:dyDescent="0.45">
      <c r="A81" t="s">
        <v>163</v>
      </c>
      <c r="B81" s="3">
        <v>45505</v>
      </c>
      <c r="C81">
        <v>23</v>
      </c>
      <c r="D81" t="s">
        <v>27</v>
      </c>
      <c r="E81">
        <v>47.4</v>
      </c>
      <c r="F81">
        <v>159.30000000000001</v>
      </c>
      <c r="G81" s="4">
        <f t="shared" si="2"/>
        <v>18.678706156761628</v>
      </c>
      <c r="H81" t="s">
        <v>99</v>
      </c>
      <c r="I81" t="s">
        <v>105</v>
      </c>
      <c r="J81">
        <v>112</v>
      </c>
      <c r="K81">
        <v>71</v>
      </c>
      <c r="L81">
        <v>65</v>
      </c>
      <c r="M81">
        <v>1</v>
      </c>
      <c r="N81" s="5">
        <v>3102.04</v>
      </c>
      <c r="O81" t="s">
        <v>23</v>
      </c>
      <c r="P81" t="str">
        <f t="shared" si="3"/>
        <v>Hospital Central de Maputo</v>
      </c>
      <c r="Q81" t="s">
        <v>24</v>
      </c>
      <c r="R81">
        <v>3</v>
      </c>
    </row>
    <row r="82" spans="1:18" x14ac:dyDescent="0.45">
      <c r="A82" t="s">
        <v>164</v>
      </c>
      <c r="B82" s="3">
        <v>45587</v>
      </c>
      <c r="C82">
        <v>19</v>
      </c>
      <c r="D82" t="s">
        <v>20</v>
      </c>
      <c r="E82">
        <v>43.2</v>
      </c>
      <c r="F82">
        <v>162.6</v>
      </c>
      <c r="G82" s="4">
        <f t="shared" si="2"/>
        <v>16.339646791301863</v>
      </c>
      <c r="H82" t="s">
        <v>55</v>
      </c>
      <c r="I82" t="s">
        <v>80</v>
      </c>
      <c r="J82">
        <v>114</v>
      </c>
      <c r="K82">
        <v>67</v>
      </c>
      <c r="L82">
        <v>74</v>
      </c>
      <c r="M82">
        <v>2</v>
      </c>
      <c r="N82" s="5">
        <v>4785.7700000000004</v>
      </c>
      <c r="O82" t="s">
        <v>23</v>
      </c>
      <c r="P82" t="str">
        <f t="shared" si="3"/>
        <v>Hospital Central de Maputo</v>
      </c>
      <c r="Q82" t="s">
        <v>37</v>
      </c>
      <c r="R82">
        <v>4</v>
      </c>
    </row>
    <row r="83" spans="1:18" x14ac:dyDescent="0.45">
      <c r="A83" t="s">
        <v>165</v>
      </c>
      <c r="B83" s="3">
        <v>45013</v>
      </c>
      <c r="C83">
        <v>24</v>
      </c>
      <c r="D83" t="s">
        <v>20</v>
      </c>
      <c r="E83">
        <v>46.4</v>
      </c>
      <c r="F83">
        <v>140</v>
      </c>
      <c r="G83" s="4">
        <f t="shared" si="2"/>
        <v>23.673469387755105</v>
      </c>
      <c r="H83" t="s">
        <v>21</v>
      </c>
      <c r="I83" t="s">
        <v>70</v>
      </c>
      <c r="J83">
        <v>129</v>
      </c>
      <c r="K83">
        <v>72</v>
      </c>
      <c r="L83">
        <v>118</v>
      </c>
      <c r="M83">
        <v>4</v>
      </c>
      <c r="N83" s="5">
        <v>6637.51</v>
      </c>
      <c r="O83" t="s">
        <v>30</v>
      </c>
      <c r="P83" t="str">
        <f t="shared" si="3"/>
        <v>Hospital Provincial de Inhambane</v>
      </c>
      <c r="Q83" t="s">
        <v>24</v>
      </c>
      <c r="R83">
        <v>4</v>
      </c>
    </row>
    <row r="84" spans="1:18" x14ac:dyDescent="0.45">
      <c r="A84" t="s">
        <v>166</v>
      </c>
      <c r="B84" s="3">
        <v>45322</v>
      </c>
      <c r="C84">
        <v>4</v>
      </c>
      <c r="D84" t="s">
        <v>27</v>
      </c>
      <c r="E84">
        <v>31.2</v>
      </c>
      <c r="F84">
        <v>135.9</v>
      </c>
      <c r="G84" s="4">
        <f t="shared" si="2"/>
        <v>16.89334613329175</v>
      </c>
      <c r="H84" t="s">
        <v>28</v>
      </c>
      <c r="I84" t="s">
        <v>50</v>
      </c>
      <c r="J84">
        <v>110</v>
      </c>
      <c r="K84">
        <v>65</v>
      </c>
      <c r="L84">
        <v>71</v>
      </c>
      <c r="M84">
        <v>1</v>
      </c>
      <c r="N84" s="5">
        <v>3392.95</v>
      </c>
      <c r="O84" t="s">
        <v>52</v>
      </c>
      <c r="P84" t="str">
        <f t="shared" si="3"/>
        <v>Hospital Provincial de Chimoio</v>
      </c>
      <c r="Q84" t="s">
        <v>24</v>
      </c>
      <c r="R84">
        <v>4</v>
      </c>
    </row>
    <row r="85" spans="1:18" x14ac:dyDescent="0.45">
      <c r="A85" t="s">
        <v>167</v>
      </c>
      <c r="B85" s="3">
        <v>45057</v>
      </c>
      <c r="C85">
        <v>18</v>
      </c>
      <c r="D85" t="s">
        <v>20</v>
      </c>
      <c r="E85">
        <v>63.9</v>
      </c>
      <c r="F85">
        <v>161.30000000000001</v>
      </c>
      <c r="G85" s="4">
        <f t="shared" si="2"/>
        <v>24.560212686060897</v>
      </c>
      <c r="H85" t="s">
        <v>46</v>
      </c>
      <c r="I85" t="s">
        <v>66</v>
      </c>
      <c r="J85">
        <v>96</v>
      </c>
      <c r="K85">
        <v>73</v>
      </c>
      <c r="L85">
        <v>71</v>
      </c>
      <c r="M85">
        <v>1</v>
      </c>
      <c r="N85" s="5">
        <v>4280.28</v>
      </c>
      <c r="O85" t="s">
        <v>38</v>
      </c>
      <c r="P85" t="str">
        <f t="shared" si="3"/>
        <v>Hospital Provincial de Xai-Xai</v>
      </c>
      <c r="Q85" t="s">
        <v>37</v>
      </c>
      <c r="R85">
        <v>4</v>
      </c>
    </row>
    <row r="86" spans="1:18" x14ac:dyDescent="0.45">
      <c r="A86" t="s">
        <v>168</v>
      </c>
      <c r="B86" s="3">
        <v>45479</v>
      </c>
      <c r="C86">
        <v>62</v>
      </c>
      <c r="D86" t="s">
        <v>20</v>
      </c>
      <c r="E86">
        <v>60</v>
      </c>
      <c r="F86">
        <v>158.69999999999999</v>
      </c>
      <c r="G86" s="4">
        <f t="shared" si="2"/>
        <v>23.823051899709718</v>
      </c>
      <c r="H86" t="s">
        <v>46</v>
      </c>
      <c r="I86" t="s">
        <v>94</v>
      </c>
      <c r="J86">
        <v>132</v>
      </c>
      <c r="K86">
        <v>90</v>
      </c>
      <c r="L86">
        <v>65</v>
      </c>
      <c r="M86">
        <v>5</v>
      </c>
      <c r="N86" s="5">
        <v>6731.79</v>
      </c>
      <c r="O86" t="s">
        <v>51</v>
      </c>
      <c r="P86" t="str">
        <f t="shared" si="3"/>
        <v>Hospital Central de Quelimane</v>
      </c>
      <c r="Q86" t="s">
        <v>76</v>
      </c>
      <c r="R86">
        <v>4</v>
      </c>
    </row>
    <row r="87" spans="1:18" x14ac:dyDescent="0.45">
      <c r="A87" t="s">
        <v>169</v>
      </c>
      <c r="B87" s="3">
        <v>45386</v>
      </c>
      <c r="C87">
        <v>18</v>
      </c>
      <c r="D87" t="s">
        <v>20</v>
      </c>
      <c r="E87">
        <v>59.5</v>
      </c>
      <c r="F87">
        <v>178.4</v>
      </c>
      <c r="G87" s="4">
        <f t="shared" si="2"/>
        <v>18.695077319069355</v>
      </c>
      <c r="H87" t="s">
        <v>55</v>
      </c>
      <c r="I87" t="s">
        <v>62</v>
      </c>
      <c r="J87">
        <v>113</v>
      </c>
      <c r="K87">
        <v>67</v>
      </c>
      <c r="L87">
        <v>77</v>
      </c>
      <c r="M87">
        <v>2</v>
      </c>
      <c r="N87" s="5">
        <v>9851.6</v>
      </c>
      <c r="O87" t="s">
        <v>52</v>
      </c>
      <c r="P87" t="str">
        <f t="shared" si="3"/>
        <v>Hospital Provincial de Chimoio</v>
      </c>
      <c r="Q87" t="s">
        <v>24</v>
      </c>
      <c r="R87">
        <v>3</v>
      </c>
    </row>
    <row r="88" spans="1:18" x14ac:dyDescent="0.45">
      <c r="A88" t="s">
        <v>170</v>
      </c>
      <c r="B88" s="3">
        <v>45131</v>
      </c>
      <c r="C88">
        <v>17</v>
      </c>
      <c r="D88" t="s">
        <v>27</v>
      </c>
      <c r="E88">
        <v>45.1</v>
      </c>
      <c r="F88">
        <v>151.4</v>
      </c>
      <c r="G88" s="4">
        <f t="shared" si="2"/>
        <v>19.675455327554886</v>
      </c>
      <c r="H88" t="s">
        <v>99</v>
      </c>
      <c r="I88" t="s">
        <v>105</v>
      </c>
      <c r="J88">
        <v>101</v>
      </c>
      <c r="K88">
        <v>61</v>
      </c>
      <c r="L88">
        <v>107</v>
      </c>
      <c r="M88">
        <v>1</v>
      </c>
      <c r="N88" s="5">
        <v>4100.82</v>
      </c>
      <c r="O88" t="s">
        <v>63</v>
      </c>
      <c r="P88" t="str">
        <f t="shared" si="3"/>
        <v>Hospital Central de Nampula</v>
      </c>
      <c r="Q88" t="s">
        <v>24</v>
      </c>
      <c r="R88">
        <v>4</v>
      </c>
    </row>
    <row r="89" spans="1:18" x14ac:dyDescent="0.45">
      <c r="A89" t="s">
        <v>171</v>
      </c>
      <c r="B89" s="3">
        <v>45154</v>
      </c>
      <c r="C89">
        <v>14</v>
      </c>
      <c r="D89" t="s">
        <v>27</v>
      </c>
      <c r="E89">
        <v>70.099999999999994</v>
      </c>
      <c r="F89">
        <v>155.19999999999999</v>
      </c>
      <c r="G89" s="4">
        <f t="shared" si="2"/>
        <v>29.10278722499735</v>
      </c>
      <c r="H89" t="s">
        <v>99</v>
      </c>
      <c r="I89" t="s">
        <v>105</v>
      </c>
      <c r="J89">
        <v>97</v>
      </c>
      <c r="K89">
        <v>64</v>
      </c>
      <c r="L89">
        <v>98</v>
      </c>
      <c r="M89">
        <v>1</v>
      </c>
      <c r="N89" s="5">
        <v>3943.47</v>
      </c>
      <c r="O89" t="s">
        <v>30</v>
      </c>
      <c r="P89" t="str">
        <f t="shared" si="3"/>
        <v>Hospital Provincial de Inhambane</v>
      </c>
      <c r="Q89" t="s">
        <v>24</v>
      </c>
      <c r="R89">
        <v>2</v>
      </c>
    </row>
    <row r="90" spans="1:18" x14ac:dyDescent="0.45">
      <c r="A90" t="s">
        <v>172</v>
      </c>
      <c r="B90" s="3">
        <v>45410</v>
      </c>
      <c r="C90">
        <v>43</v>
      </c>
      <c r="D90" t="s">
        <v>20</v>
      </c>
      <c r="E90">
        <v>64.400000000000006</v>
      </c>
      <c r="F90">
        <v>162.1</v>
      </c>
      <c r="G90" s="4">
        <f t="shared" si="2"/>
        <v>24.508675271850304</v>
      </c>
      <c r="H90" t="s">
        <v>46</v>
      </c>
      <c r="I90" t="s">
        <v>66</v>
      </c>
      <c r="J90">
        <v>125</v>
      </c>
      <c r="K90">
        <v>79</v>
      </c>
      <c r="L90">
        <v>101</v>
      </c>
      <c r="M90">
        <v>5</v>
      </c>
      <c r="N90" s="5">
        <v>11514.05</v>
      </c>
      <c r="O90" t="s">
        <v>38</v>
      </c>
      <c r="P90" t="str">
        <f t="shared" si="3"/>
        <v>Hospital Provincial de Xai-Xai</v>
      </c>
      <c r="Q90" t="s">
        <v>24</v>
      </c>
      <c r="R90">
        <v>2</v>
      </c>
    </row>
    <row r="91" spans="1:18" x14ac:dyDescent="0.45">
      <c r="A91" t="s">
        <v>173</v>
      </c>
      <c r="B91" s="3">
        <v>45356</v>
      </c>
      <c r="C91">
        <v>19</v>
      </c>
      <c r="D91" t="s">
        <v>27</v>
      </c>
      <c r="E91">
        <v>62.8</v>
      </c>
      <c r="F91">
        <v>161.69999999999999</v>
      </c>
      <c r="G91" s="4">
        <f t="shared" si="2"/>
        <v>24.018152828118374</v>
      </c>
      <c r="H91" t="s">
        <v>21</v>
      </c>
      <c r="I91" t="s">
        <v>89</v>
      </c>
      <c r="J91">
        <v>123</v>
      </c>
      <c r="K91">
        <v>75</v>
      </c>
      <c r="L91">
        <v>99</v>
      </c>
      <c r="M91">
        <v>3</v>
      </c>
      <c r="N91" s="5">
        <v>6251.25</v>
      </c>
      <c r="O91" t="s">
        <v>51</v>
      </c>
      <c r="P91" t="str">
        <f t="shared" si="3"/>
        <v>Hospital Central de Quelimane</v>
      </c>
      <c r="Q91" t="s">
        <v>24</v>
      </c>
      <c r="R91">
        <v>5</v>
      </c>
    </row>
    <row r="92" spans="1:18" x14ac:dyDescent="0.45">
      <c r="A92" t="s">
        <v>174</v>
      </c>
      <c r="B92" s="3">
        <v>44996</v>
      </c>
      <c r="C92">
        <v>52</v>
      </c>
      <c r="D92" t="s">
        <v>20</v>
      </c>
      <c r="E92">
        <v>67.2</v>
      </c>
      <c r="F92">
        <v>171.6</v>
      </c>
      <c r="G92" s="4">
        <f t="shared" si="2"/>
        <v>22.821001841980866</v>
      </c>
      <c r="H92" t="s">
        <v>91</v>
      </c>
      <c r="I92" t="s">
        <v>131</v>
      </c>
      <c r="J92">
        <v>106</v>
      </c>
      <c r="K92">
        <v>72</v>
      </c>
      <c r="L92">
        <v>87</v>
      </c>
      <c r="M92">
        <v>1</v>
      </c>
      <c r="N92" s="5">
        <v>3332.7</v>
      </c>
      <c r="O92" t="s">
        <v>57</v>
      </c>
      <c r="P92" t="str">
        <f t="shared" si="3"/>
        <v>Hospital Provincial de Tete</v>
      </c>
      <c r="Q92" t="s">
        <v>24</v>
      </c>
      <c r="R92">
        <v>3</v>
      </c>
    </row>
    <row r="93" spans="1:18" x14ac:dyDescent="0.45">
      <c r="A93" t="s">
        <v>175</v>
      </c>
      <c r="B93" s="3">
        <v>45287</v>
      </c>
      <c r="C93">
        <v>29</v>
      </c>
      <c r="D93" t="s">
        <v>27</v>
      </c>
      <c r="E93">
        <v>48</v>
      </c>
      <c r="F93">
        <v>169.6</v>
      </c>
      <c r="G93" s="4">
        <f t="shared" si="2"/>
        <v>16.687433250266999</v>
      </c>
      <c r="H93" t="s">
        <v>99</v>
      </c>
      <c r="I93" t="s">
        <v>103</v>
      </c>
      <c r="J93">
        <v>125</v>
      </c>
      <c r="K93">
        <v>76</v>
      </c>
      <c r="L93">
        <v>92</v>
      </c>
      <c r="M93">
        <v>5</v>
      </c>
      <c r="N93" s="5">
        <v>16066.11</v>
      </c>
      <c r="O93" t="s">
        <v>31</v>
      </c>
      <c r="P93" t="str">
        <f t="shared" si="3"/>
        <v>Hospital Provincial da Matola</v>
      </c>
      <c r="Q93" t="s">
        <v>37</v>
      </c>
      <c r="R93">
        <v>5</v>
      </c>
    </row>
    <row r="94" spans="1:18" x14ac:dyDescent="0.45">
      <c r="A94" t="s">
        <v>176</v>
      </c>
      <c r="B94" s="3">
        <v>45250</v>
      </c>
      <c r="C94">
        <v>46</v>
      </c>
      <c r="D94" t="s">
        <v>27</v>
      </c>
      <c r="E94">
        <v>84.1</v>
      </c>
      <c r="F94">
        <v>162.69999999999999</v>
      </c>
      <c r="G94" s="4">
        <f t="shared" si="2"/>
        <v>31.770268845983715</v>
      </c>
      <c r="H94" t="s">
        <v>41</v>
      </c>
      <c r="I94" t="s">
        <v>161</v>
      </c>
      <c r="J94">
        <v>122</v>
      </c>
      <c r="K94">
        <v>80</v>
      </c>
      <c r="L94">
        <v>97</v>
      </c>
      <c r="M94">
        <v>1</v>
      </c>
      <c r="N94" s="5">
        <v>2927.15</v>
      </c>
      <c r="O94" t="s">
        <v>63</v>
      </c>
      <c r="P94" t="str">
        <f t="shared" si="3"/>
        <v>Hospital Central de Nampula</v>
      </c>
      <c r="Q94" t="s">
        <v>24</v>
      </c>
      <c r="R94">
        <v>5</v>
      </c>
    </row>
    <row r="95" spans="1:18" x14ac:dyDescent="0.45">
      <c r="A95" t="s">
        <v>177</v>
      </c>
      <c r="B95" s="3">
        <v>45322</v>
      </c>
      <c r="C95">
        <v>18</v>
      </c>
      <c r="D95" t="s">
        <v>27</v>
      </c>
      <c r="E95">
        <v>53.3</v>
      </c>
      <c r="F95">
        <v>159.9</v>
      </c>
      <c r="G95" s="4">
        <f t="shared" si="2"/>
        <v>20.846362309776943</v>
      </c>
      <c r="H95" t="s">
        <v>34</v>
      </c>
      <c r="I95" t="s">
        <v>35</v>
      </c>
      <c r="J95">
        <v>109</v>
      </c>
      <c r="K95">
        <v>63</v>
      </c>
      <c r="L95">
        <v>104</v>
      </c>
      <c r="M95">
        <v>2</v>
      </c>
      <c r="N95" s="5">
        <v>7536.87</v>
      </c>
      <c r="O95" t="s">
        <v>38</v>
      </c>
      <c r="P95" t="str">
        <f t="shared" si="3"/>
        <v>Hospital Provincial de Xai-Xai</v>
      </c>
      <c r="Q95" t="s">
        <v>24</v>
      </c>
      <c r="R95">
        <v>4</v>
      </c>
    </row>
    <row r="96" spans="1:18" x14ac:dyDescent="0.45">
      <c r="A96" t="s">
        <v>178</v>
      </c>
      <c r="B96" s="3">
        <v>45229</v>
      </c>
      <c r="C96">
        <v>46</v>
      </c>
      <c r="D96" t="s">
        <v>27</v>
      </c>
      <c r="E96">
        <v>75.3</v>
      </c>
      <c r="F96">
        <v>167.9</v>
      </c>
      <c r="G96" s="4">
        <f t="shared" si="2"/>
        <v>26.711211365851007</v>
      </c>
      <c r="H96" t="s">
        <v>41</v>
      </c>
      <c r="I96" t="s">
        <v>161</v>
      </c>
      <c r="J96">
        <v>100</v>
      </c>
      <c r="K96">
        <v>65</v>
      </c>
      <c r="L96">
        <v>111</v>
      </c>
      <c r="M96">
        <v>2</v>
      </c>
      <c r="N96" s="5">
        <v>7795.14</v>
      </c>
      <c r="O96" t="s">
        <v>23</v>
      </c>
      <c r="P96" t="str">
        <f t="shared" si="3"/>
        <v>Hospital Central de Maputo</v>
      </c>
      <c r="Q96" t="s">
        <v>24</v>
      </c>
      <c r="R96">
        <v>4</v>
      </c>
    </row>
    <row r="97" spans="1:18" x14ac:dyDescent="0.45">
      <c r="A97" t="s">
        <v>179</v>
      </c>
      <c r="B97" s="3">
        <v>45452</v>
      </c>
      <c r="C97">
        <v>25</v>
      </c>
      <c r="D97" t="s">
        <v>20</v>
      </c>
      <c r="E97">
        <v>49.3</v>
      </c>
      <c r="F97">
        <v>170.9</v>
      </c>
      <c r="G97" s="4">
        <f t="shared" si="2"/>
        <v>16.879624991568747</v>
      </c>
      <c r="H97" t="s">
        <v>34</v>
      </c>
      <c r="I97" t="s">
        <v>138</v>
      </c>
      <c r="J97">
        <v>104</v>
      </c>
      <c r="K97">
        <v>65</v>
      </c>
      <c r="L97">
        <v>90</v>
      </c>
      <c r="M97">
        <v>1</v>
      </c>
      <c r="N97" s="5">
        <v>3784.17</v>
      </c>
      <c r="O97" t="s">
        <v>31</v>
      </c>
      <c r="P97" t="str">
        <f t="shared" si="3"/>
        <v>Hospital Provincial da Matola</v>
      </c>
      <c r="Q97" t="s">
        <v>24</v>
      </c>
      <c r="R97">
        <v>4</v>
      </c>
    </row>
    <row r="98" spans="1:18" x14ac:dyDescent="0.45">
      <c r="A98" t="s">
        <v>180</v>
      </c>
      <c r="B98" s="3">
        <v>45381</v>
      </c>
      <c r="C98">
        <v>62</v>
      </c>
      <c r="D98" t="s">
        <v>20</v>
      </c>
      <c r="E98">
        <v>74.400000000000006</v>
      </c>
      <c r="F98">
        <v>152.6</v>
      </c>
      <c r="G98" s="4">
        <f t="shared" si="2"/>
        <v>31.949485458689832</v>
      </c>
      <c r="H98" t="s">
        <v>55</v>
      </c>
      <c r="I98" t="s">
        <v>62</v>
      </c>
      <c r="J98">
        <v>124</v>
      </c>
      <c r="K98">
        <v>79</v>
      </c>
      <c r="L98">
        <v>90</v>
      </c>
      <c r="M98">
        <v>1</v>
      </c>
      <c r="N98" s="5">
        <v>5103.3500000000004</v>
      </c>
      <c r="O98" t="s">
        <v>38</v>
      </c>
      <c r="P98" t="str">
        <f t="shared" si="3"/>
        <v>Hospital Provincial de Xai-Xai</v>
      </c>
      <c r="Q98" t="s">
        <v>24</v>
      </c>
      <c r="R98">
        <v>5</v>
      </c>
    </row>
    <row r="99" spans="1:18" x14ac:dyDescent="0.45">
      <c r="A99" t="s">
        <v>181</v>
      </c>
      <c r="B99" s="3">
        <v>45219</v>
      </c>
      <c r="C99">
        <v>4</v>
      </c>
      <c r="D99" t="s">
        <v>27</v>
      </c>
      <c r="E99">
        <v>3.6</v>
      </c>
      <c r="F99">
        <v>76.900000000000006</v>
      </c>
      <c r="G99" s="4">
        <f t="shared" si="2"/>
        <v>6.087652043337318</v>
      </c>
      <c r="H99" t="s">
        <v>28</v>
      </c>
      <c r="I99" t="s">
        <v>29</v>
      </c>
      <c r="J99">
        <v>109</v>
      </c>
      <c r="K99">
        <v>65</v>
      </c>
      <c r="L99">
        <v>89</v>
      </c>
      <c r="M99">
        <v>4</v>
      </c>
      <c r="N99" s="5">
        <v>12969.52</v>
      </c>
      <c r="O99" t="s">
        <v>30</v>
      </c>
      <c r="P99" t="str">
        <f t="shared" si="3"/>
        <v>Hospital Provincial de Inhambane</v>
      </c>
      <c r="Q99" t="s">
        <v>24</v>
      </c>
      <c r="R99">
        <v>4</v>
      </c>
    </row>
    <row r="100" spans="1:18" x14ac:dyDescent="0.45">
      <c r="A100" t="s">
        <v>182</v>
      </c>
      <c r="B100" s="3">
        <v>45234</v>
      </c>
      <c r="C100">
        <v>59</v>
      </c>
      <c r="D100" t="s">
        <v>20</v>
      </c>
      <c r="E100">
        <v>57.9</v>
      </c>
      <c r="F100">
        <v>157.30000000000001</v>
      </c>
      <c r="G100" s="4">
        <f t="shared" si="2"/>
        <v>23.400283470791472</v>
      </c>
      <c r="H100" t="s">
        <v>46</v>
      </c>
      <c r="I100" t="s">
        <v>108</v>
      </c>
      <c r="J100">
        <v>123</v>
      </c>
      <c r="K100">
        <v>77</v>
      </c>
      <c r="L100">
        <v>101</v>
      </c>
      <c r="M100">
        <v>6</v>
      </c>
      <c r="N100" s="5">
        <v>8080.19</v>
      </c>
      <c r="O100" t="s">
        <v>30</v>
      </c>
      <c r="P100" t="str">
        <f t="shared" si="3"/>
        <v>Hospital Provincial de Inhambane</v>
      </c>
      <c r="Q100" t="s">
        <v>37</v>
      </c>
      <c r="R100">
        <v>4</v>
      </c>
    </row>
    <row r="101" spans="1:18" x14ac:dyDescent="0.45">
      <c r="A101" t="s">
        <v>183</v>
      </c>
      <c r="B101" s="3">
        <v>45553</v>
      </c>
      <c r="C101">
        <v>18</v>
      </c>
      <c r="D101" t="s">
        <v>20</v>
      </c>
      <c r="E101">
        <v>43.7</v>
      </c>
      <c r="F101">
        <v>171.5</v>
      </c>
      <c r="G101" s="4">
        <f t="shared" si="2"/>
        <v>14.857754847045024</v>
      </c>
      <c r="H101" t="s">
        <v>21</v>
      </c>
      <c r="I101" t="s">
        <v>89</v>
      </c>
      <c r="J101">
        <v>128</v>
      </c>
      <c r="K101">
        <v>80</v>
      </c>
      <c r="L101">
        <v>81</v>
      </c>
      <c r="M101">
        <v>14</v>
      </c>
      <c r="N101" s="5">
        <v>35278.22</v>
      </c>
      <c r="O101" t="s">
        <v>51</v>
      </c>
      <c r="P101" t="str">
        <f t="shared" si="3"/>
        <v>Hospital Central de Quelimane</v>
      </c>
      <c r="Q101" t="s">
        <v>24</v>
      </c>
      <c r="R101">
        <v>5</v>
      </c>
    </row>
    <row r="102" spans="1:18" x14ac:dyDescent="0.45">
      <c r="A102" t="s">
        <v>184</v>
      </c>
      <c r="B102" s="3">
        <v>45491</v>
      </c>
      <c r="C102">
        <v>51</v>
      </c>
      <c r="D102" t="s">
        <v>20</v>
      </c>
      <c r="E102">
        <v>71.099999999999994</v>
      </c>
      <c r="F102">
        <v>170.7</v>
      </c>
      <c r="G102" s="4">
        <f t="shared" si="2"/>
        <v>24.400715342490297</v>
      </c>
      <c r="H102" t="s">
        <v>46</v>
      </c>
      <c r="I102" t="s">
        <v>47</v>
      </c>
      <c r="J102">
        <v>107</v>
      </c>
      <c r="K102">
        <v>65</v>
      </c>
      <c r="L102">
        <v>101</v>
      </c>
      <c r="M102">
        <v>10</v>
      </c>
      <c r="N102" s="5">
        <v>17723.009999999998</v>
      </c>
      <c r="O102" t="s">
        <v>52</v>
      </c>
      <c r="P102" t="str">
        <f t="shared" si="3"/>
        <v>Hospital Provincial de Chimoio</v>
      </c>
      <c r="Q102" t="s">
        <v>24</v>
      </c>
      <c r="R102">
        <v>2</v>
      </c>
    </row>
    <row r="103" spans="1:18" x14ac:dyDescent="0.45">
      <c r="A103" t="s">
        <v>185</v>
      </c>
      <c r="B103" s="3">
        <v>45128</v>
      </c>
      <c r="C103">
        <v>31</v>
      </c>
      <c r="D103" t="s">
        <v>27</v>
      </c>
      <c r="E103">
        <v>50.7</v>
      </c>
      <c r="F103">
        <v>173.5</v>
      </c>
      <c r="G103" s="4">
        <f t="shared" si="2"/>
        <v>16.842594822646149</v>
      </c>
      <c r="H103" t="s">
        <v>21</v>
      </c>
      <c r="I103" t="s">
        <v>70</v>
      </c>
      <c r="J103">
        <v>103</v>
      </c>
      <c r="K103">
        <v>67</v>
      </c>
      <c r="L103">
        <v>121</v>
      </c>
      <c r="M103">
        <v>9</v>
      </c>
      <c r="N103" s="5">
        <v>18552.91</v>
      </c>
      <c r="O103" t="s">
        <v>23</v>
      </c>
      <c r="P103" t="str">
        <f t="shared" si="3"/>
        <v>Hospital Central de Maputo</v>
      </c>
      <c r="Q103" t="s">
        <v>37</v>
      </c>
      <c r="R103">
        <v>2</v>
      </c>
    </row>
    <row r="104" spans="1:18" x14ac:dyDescent="0.45">
      <c r="A104" t="s">
        <v>186</v>
      </c>
      <c r="B104" s="3">
        <v>45583</v>
      </c>
      <c r="C104">
        <v>39</v>
      </c>
      <c r="D104" t="s">
        <v>27</v>
      </c>
      <c r="E104">
        <v>47.1</v>
      </c>
      <c r="F104">
        <v>153.69999999999999</v>
      </c>
      <c r="G104" s="4">
        <f t="shared" si="2"/>
        <v>19.937613471900455</v>
      </c>
      <c r="H104" t="s">
        <v>46</v>
      </c>
      <c r="I104" t="s">
        <v>47</v>
      </c>
      <c r="J104">
        <v>115</v>
      </c>
      <c r="K104">
        <v>67</v>
      </c>
      <c r="L104">
        <v>133</v>
      </c>
      <c r="M104">
        <v>2</v>
      </c>
      <c r="N104" s="5">
        <v>8225.0400000000009</v>
      </c>
      <c r="O104" t="s">
        <v>38</v>
      </c>
      <c r="P104" t="str">
        <f t="shared" si="3"/>
        <v>Hospital Provincial de Xai-Xai</v>
      </c>
      <c r="Q104" t="s">
        <v>24</v>
      </c>
      <c r="R104">
        <v>2</v>
      </c>
    </row>
    <row r="105" spans="1:18" x14ac:dyDescent="0.45">
      <c r="A105" t="s">
        <v>187</v>
      </c>
      <c r="B105" s="3">
        <v>45377</v>
      </c>
      <c r="C105">
        <v>44</v>
      </c>
      <c r="D105" t="s">
        <v>27</v>
      </c>
      <c r="E105">
        <v>70.8</v>
      </c>
      <c r="F105">
        <v>174.8</v>
      </c>
      <c r="G105" s="4">
        <f t="shared" si="2"/>
        <v>23.171300053935447</v>
      </c>
      <c r="H105" t="s">
        <v>41</v>
      </c>
      <c r="I105" t="s">
        <v>42</v>
      </c>
      <c r="J105">
        <v>109</v>
      </c>
      <c r="K105">
        <v>73</v>
      </c>
      <c r="L105">
        <v>89</v>
      </c>
      <c r="M105">
        <v>2</v>
      </c>
      <c r="N105" s="5">
        <v>7495.5</v>
      </c>
      <c r="O105" t="s">
        <v>23</v>
      </c>
      <c r="P105" t="str">
        <f t="shared" si="3"/>
        <v>Hospital Central de Maputo</v>
      </c>
      <c r="Q105" t="s">
        <v>24</v>
      </c>
      <c r="R105">
        <v>3</v>
      </c>
    </row>
    <row r="106" spans="1:18" x14ac:dyDescent="0.45">
      <c r="A106" t="s">
        <v>188</v>
      </c>
      <c r="B106" s="3">
        <v>45387</v>
      </c>
      <c r="C106">
        <v>1</v>
      </c>
      <c r="D106" t="s">
        <v>20</v>
      </c>
      <c r="E106">
        <v>17.3</v>
      </c>
      <c r="F106">
        <v>150.19999999999999</v>
      </c>
      <c r="G106" s="4">
        <f t="shared" si="2"/>
        <v>7.6684261198118469</v>
      </c>
      <c r="H106" t="s">
        <v>28</v>
      </c>
      <c r="I106" t="s">
        <v>50</v>
      </c>
      <c r="J106">
        <v>85</v>
      </c>
      <c r="K106">
        <v>60</v>
      </c>
      <c r="L106">
        <v>113</v>
      </c>
      <c r="M106">
        <v>10</v>
      </c>
      <c r="N106" s="5">
        <v>26774.44</v>
      </c>
      <c r="O106" t="s">
        <v>31</v>
      </c>
      <c r="P106" t="str">
        <f t="shared" si="3"/>
        <v>Hospital Provincial da Matola</v>
      </c>
      <c r="Q106" t="s">
        <v>76</v>
      </c>
      <c r="R106">
        <v>4</v>
      </c>
    </row>
    <row r="107" spans="1:18" x14ac:dyDescent="0.45">
      <c r="A107" t="s">
        <v>189</v>
      </c>
      <c r="B107" s="3">
        <v>45242</v>
      </c>
      <c r="C107">
        <v>20</v>
      </c>
      <c r="D107" t="s">
        <v>27</v>
      </c>
      <c r="E107">
        <v>62.9</v>
      </c>
      <c r="F107">
        <v>140</v>
      </c>
      <c r="G107" s="4">
        <f t="shared" si="2"/>
        <v>32.091836734693878</v>
      </c>
      <c r="H107" t="s">
        <v>21</v>
      </c>
      <c r="I107" t="s">
        <v>89</v>
      </c>
      <c r="J107">
        <v>135</v>
      </c>
      <c r="K107">
        <v>89</v>
      </c>
      <c r="L107">
        <v>107</v>
      </c>
      <c r="M107">
        <v>8</v>
      </c>
      <c r="N107" s="5">
        <v>21297.200000000001</v>
      </c>
      <c r="O107" t="s">
        <v>52</v>
      </c>
      <c r="P107" t="str">
        <f t="shared" si="3"/>
        <v>Hospital Provincial de Chimoio</v>
      </c>
      <c r="Q107" t="s">
        <v>37</v>
      </c>
      <c r="R107">
        <v>4</v>
      </c>
    </row>
    <row r="108" spans="1:18" x14ac:dyDescent="0.45">
      <c r="A108" t="s">
        <v>190</v>
      </c>
      <c r="B108" s="3">
        <v>45197</v>
      </c>
      <c r="C108">
        <v>44</v>
      </c>
      <c r="D108" t="s">
        <v>27</v>
      </c>
      <c r="E108">
        <v>65.099999999999994</v>
      </c>
      <c r="F108">
        <v>165.8</v>
      </c>
      <c r="G108" s="4">
        <f t="shared" si="2"/>
        <v>23.681648795691753</v>
      </c>
      <c r="H108" t="s">
        <v>46</v>
      </c>
      <c r="I108" t="s">
        <v>108</v>
      </c>
      <c r="J108">
        <v>107</v>
      </c>
      <c r="K108">
        <v>64</v>
      </c>
      <c r="L108">
        <v>86</v>
      </c>
      <c r="M108">
        <v>2</v>
      </c>
      <c r="N108" s="5">
        <v>7487.81</v>
      </c>
      <c r="O108" t="s">
        <v>57</v>
      </c>
      <c r="P108" t="str">
        <f t="shared" si="3"/>
        <v>Hospital Provincial de Tete</v>
      </c>
      <c r="Q108" t="s">
        <v>24</v>
      </c>
      <c r="R108">
        <v>3</v>
      </c>
    </row>
    <row r="109" spans="1:18" x14ac:dyDescent="0.45">
      <c r="A109" t="s">
        <v>191</v>
      </c>
      <c r="B109" s="3">
        <v>45026</v>
      </c>
      <c r="C109">
        <v>54</v>
      </c>
      <c r="D109" t="s">
        <v>27</v>
      </c>
      <c r="E109">
        <v>59.9</v>
      </c>
      <c r="F109">
        <v>155</v>
      </c>
      <c r="G109" s="4">
        <f t="shared" si="2"/>
        <v>24.932362122788756</v>
      </c>
      <c r="H109" t="s">
        <v>91</v>
      </c>
      <c r="I109" t="s">
        <v>116</v>
      </c>
      <c r="J109">
        <v>131</v>
      </c>
      <c r="K109">
        <v>87</v>
      </c>
      <c r="L109">
        <v>87</v>
      </c>
      <c r="M109">
        <v>1</v>
      </c>
      <c r="N109" s="5">
        <v>5633.56</v>
      </c>
      <c r="O109" t="s">
        <v>52</v>
      </c>
      <c r="P109" t="str">
        <f t="shared" si="3"/>
        <v>Hospital Provincial de Chimoio</v>
      </c>
      <c r="Q109" t="s">
        <v>24</v>
      </c>
      <c r="R109">
        <v>5</v>
      </c>
    </row>
    <row r="110" spans="1:18" x14ac:dyDescent="0.45">
      <c r="A110" t="s">
        <v>192</v>
      </c>
      <c r="B110" s="3">
        <v>45070</v>
      </c>
      <c r="C110">
        <v>40</v>
      </c>
      <c r="D110" t="s">
        <v>27</v>
      </c>
      <c r="E110">
        <v>95.3</v>
      </c>
      <c r="F110">
        <v>177.4</v>
      </c>
      <c r="G110" s="4">
        <f t="shared" si="2"/>
        <v>30.282077712772107</v>
      </c>
      <c r="H110" t="s">
        <v>34</v>
      </c>
      <c r="I110" t="s">
        <v>126</v>
      </c>
      <c r="J110">
        <v>115</v>
      </c>
      <c r="K110">
        <v>66</v>
      </c>
      <c r="L110">
        <v>72</v>
      </c>
      <c r="M110">
        <v>3</v>
      </c>
      <c r="N110" s="5">
        <v>9119.66</v>
      </c>
      <c r="O110" t="s">
        <v>63</v>
      </c>
      <c r="P110" t="str">
        <f t="shared" si="3"/>
        <v>Hospital Central de Nampula</v>
      </c>
      <c r="Q110" t="s">
        <v>24</v>
      </c>
      <c r="R110">
        <v>4</v>
      </c>
    </row>
    <row r="111" spans="1:18" x14ac:dyDescent="0.45">
      <c r="A111" t="s">
        <v>193</v>
      </c>
      <c r="B111" s="3">
        <v>45353</v>
      </c>
      <c r="C111">
        <v>65</v>
      </c>
      <c r="D111" t="s">
        <v>27</v>
      </c>
      <c r="E111">
        <v>58.6</v>
      </c>
      <c r="F111">
        <v>157.19999999999999</v>
      </c>
      <c r="G111" s="4">
        <f t="shared" si="2"/>
        <v>23.713329319063256</v>
      </c>
      <c r="H111" t="s">
        <v>46</v>
      </c>
      <c r="I111" t="s">
        <v>47</v>
      </c>
      <c r="J111">
        <v>108</v>
      </c>
      <c r="K111">
        <v>55</v>
      </c>
      <c r="L111">
        <v>81</v>
      </c>
      <c r="M111">
        <v>1</v>
      </c>
      <c r="N111" s="5">
        <v>4230.1499999999996</v>
      </c>
      <c r="O111" t="s">
        <v>51</v>
      </c>
      <c r="P111" t="str">
        <f t="shared" si="3"/>
        <v>Hospital Central de Quelimane</v>
      </c>
      <c r="Q111" t="s">
        <v>24</v>
      </c>
      <c r="R111">
        <v>4</v>
      </c>
    </row>
    <row r="112" spans="1:18" x14ac:dyDescent="0.45">
      <c r="A112" t="s">
        <v>194</v>
      </c>
      <c r="B112" s="3">
        <v>45624</v>
      </c>
      <c r="C112">
        <v>32</v>
      </c>
      <c r="D112" t="s">
        <v>20</v>
      </c>
      <c r="E112">
        <v>76.099999999999994</v>
      </c>
      <c r="F112">
        <v>166.5</v>
      </c>
      <c r="G112" s="4">
        <f t="shared" si="2"/>
        <v>27.450874297721143</v>
      </c>
      <c r="H112" t="s">
        <v>21</v>
      </c>
      <c r="I112" t="s">
        <v>22</v>
      </c>
      <c r="J112">
        <v>126</v>
      </c>
      <c r="K112">
        <v>81</v>
      </c>
      <c r="L112">
        <v>95</v>
      </c>
      <c r="M112">
        <v>3</v>
      </c>
      <c r="N112" s="5">
        <v>9184.0499999999993</v>
      </c>
      <c r="O112" t="s">
        <v>51</v>
      </c>
      <c r="P112" t="str">
        <f t="shared" si="3"/>
        <v>Hospital Central de Quelimane</v>
      </c>
      <c r="Q112" t="s">
        <v>24</v>
      </c>
      <c r="R112">
        <v>4</v>
      </c>
    </row>
    <row r="113" spans="1:18" x14ac:dyDescent="0.45">
      <c r="A113" t="s">
        <v>195</v>
      </c>
      <c r="B113" s="3">
        <v>45501</v>
      </c>
      <c r="C113">
        <v>57</v>
      </c>
      <c r="D113" t="s">
        <v>27</v>
      </c>
      <c r="E113">
        <v>62.3</v>
      </c>
      <c r="F113">
        <v>155.30000000000001</v>
      </c>
      <c r="G113" s="4">
        <f t="shared" si="2"/>
        <v>25.831232904429825</v>
      </c>
      <c r="H113" t="s">
        <v>34</v>
      </c>
      <c r="I113" t="s">
        <v>35</v>
      </c>
      <c r="J113">
        <v>135</v>
      </c>
      <c r="K113">
        <v>95</v>
      </c>
      <c r="L113">
        <v>82</v>
      </c>
      <c r="M113">
        <v>5</v>
      </c>
      <c r="N113" s="5">
        <v>15384.89</v>
      </c>
      <c r="O113" t="s">
        <v>51</v>
      </c>
      <c r="P113" t="str">
        <f t="shared" si="3"/>
        <v>Hospital Central de Quelimane</v>
      </c>
      <c r="Q113" t="s">
        <v>24</v>
      </c>
      <c r="R113">
        <v>3</v>
      </c>
    </row>
    <row r="114" spans="1:18" x14ac:dyDescent="0.45">
      <c r="A114" t="s">
        <v>196</v>
      </c>
      <c r="B114" s="3">
        <v>45179</v>
      </c>
      <c r="C114">
        <v>51</v>
      </c>
      <c r="D114" t="s">
        <v>27</v>
      </c>
      <c r="E114">
        <v>51.8</v>
      </c>
      <c r="F114">
        <v>186.8</v>
      </c>
      <c r="G114" s="4">
        <f t="shared" si="2"/>
        <v>14.844856916213102</v>
      </c>
      <c r="H114" t="s">
        <v>55</v>
      </c>
      <c r="I114" t="s">
        <v>197</v>
      </c>
      <c r="J114">
        <v>122</v>
      </c>
      <c r="K114">
        <v>66</v>
      </c>
      <c r="L114">
        <v>83</v>
      </c>
      <c r="M114">
        <v>2</v>
      </c>
      <c r="N114" s="5">
        <v>9375.15</v>
      </c>
      <c r="O114" t="s">
        <v>51</v>
      </c>
      <c r="P114" t="str">
        <f t="shared" si="3"/>
        <v>Hospital Central de Quelimane</v>
      </c>
      <c r="Q114" t="s">
        <v>24</v>
      </c>
      <c r="R114">
        <v>4</v>
      </c>
    </row>
    <row r="115" spans="1:18" x14ac:dyDescent="0.45">
      <c r="A115" t="s">
        <v>198</v>
      </c>
      <c r="B115" s="3">
        <v>45483</v>
      </c>
      <c r="C115">
        <v>18</v>
      </c>
      <c r="D115" t="s">
        <v>27</v>
      </c>
      <c r="E115">
        <v>36.9</v>
      </c>
      <c r="F115">
        <v>172.3</v>
      </c>
      <c r="G115" s="4">
        <f t="shared" si="2"/>
        <v>12.429561607004208</v>
      </c>
      <c r="H115" t="s">
        <v>99</v>
      </c>
      <c r="I115" t="s">
        <v>100</v>
      </c>
      <c r="J115">
        <v>110</v>
      </c>
      <c r="K115">
        <v>63</v>
      </c>
      <c r="L115">
        <v>81</v>
      </c>
      <c r="M115">
        <v>1</v>
      </c>
      <c r="N115" s="5">
        <v>3312.44</v>
      </c>
      <c r="O115" t="s">
        <v>43</v>
      </c>
      <c r="P115" t="str">
        <f t="shared" si="3"/>
        <v>Hospital Central da Beira</v>
      </c>
      <c r="Q115" t="s">
        <v>24</v>
      </c>
      <c r="R115">
        <v>4</v>
      </c>
    </row>
    <row r="116" spans="1:18" x14ac:dyDescent="0.45">
      <c r="A116" t="s">
        <v>199</v>
      </c>
      <c r="B116" s="3">
        <v>45502</v>
      </c>
      <c r="C116">
        <v>7</v>
      </c>
      <c r="D116" t="s">
        <v>27</v>
      </c>
      <c r="E116">
        <v>44.6</v>
      </c>
      <c r="F116">
        <v>141.9</v>
      </c>
      <c r="G116" s="4">
        <f t="shared" si="2"/>
        <v>22.14981319165399</v>
      </c>
      <c r="H116" t="s">
        <v>28</v>
      </c>
      <c r="I116" t="s">
        <v>75</v>
      </c>
      <c r="J116">
        <v>110</v>
      </c>
      <c r="K116">
        <v>68</v>
      </c>
      <c r="L116">
        <v>99</v>
      </c>
      <c r="M116">
        <v>1</v>
      </c>
      <c r="N116" s="5">
        <v>3724.13</v>
      </c>
      <c r="O116" t="s">
        <v>51</v>
      </c>
      <c r="P116" t="str">
        <f t="shared" si="3"/>
        <v>Hospital Central de Quelimane</v>
      </c>
      <c r="Q116" t="s">
        <v>24</v>
      </c>
      <c r="R116">
        <v>5</v>
      </c>
    </row>
    <row r="117" spans="1:18" x14ac:dyDescent="0.45">
      <c r="A117" t="s">
        <v>200</v>
      </c>
      <c r="B117" s="3">
        <v>45088</v>
      </c>
      <c r="C117">
        <v>52</v>
      </c>
      <c r="D117" t="s">
        <v>27</v>
      </c>
      <c r="E117">
        <v>64.400000000000006</v>
      </c>
      <c r="F117">
        <v>156</v>
      </c>
      <c r="G117" s="4">
        <f t="shared" si="2"/>
        <v>26.462853385930309</v>
      </c>
      <c r="H117" t="s">
        <v>46</v>
      </c>
      <c r="I117" t="s">
        <v>94</v>
      </c>
      <c r="J117">
        <v>110</v>
      </c>
      <c r="K117">
        <v>67</v>
      </c>
      <c r="L117">
        <v>97</v>
      </c>
      <c r="M117">
        <v>5</v>
      </c>
      <c r="N117" s="5">
        <v>13321.32</v>
      </c>
      <c r="O117" t="s">
        <v>51</v>
      </c>
      <c r="P117" t="str">
        <f t="shared" si="3"/>
        <v>Hospital Central de Quelimane</v>
      </c>
      <c r="Q117" t="s">
        <v>37</v>
      </c>
      <c r="R117">
        <v>2</v>
      </c>
    </row>
    <row r="118" spans="1:18" x14ac:dyDescent="0.45">
      <c r="A118" t="s">
        <v>201</v>
      </c>
      <c r="B118" s="3">
        <v>45106</v>
      </c>
      <c r="C118">
        <v>35</v>
      </c>
      <c r="D118" t="s">
        <v>27</v>
      </c>
      <c r="E118">
        <v>65.8</v>
      </c>
      <c r="F118">
        <v>181.1</v>
      </c>
      <c r="G118" s="4">
        <f t="shared" si="2"/>
        <v>20.062682161074068</v>
      </c>
      <c r="H118" t="s">
        <v>99</v>
      </c>
      <c r="I118" t="s">
        <v>100</v>
      </c>
      <c r="J118">
        <v>106</v>
      </c>
      <c r="K118">
        <v>65</v>
      </c>
      <c r="L118">
        <v>65</v>
      </c>
      <c r="M118">
        <v>1</v>
      </c>
      <c r="N118" s="5">
        <v>2511.19</v>
      </c>
      <c r="O118" t="s">
        <v>57</v>
      </c>
      <c r="P118" t="str">
        <f t="shared" si="3"/>
        <v>Hospital Provincial de Tete</v>
      </c>
      <c r="Q118" t="s">
        <v>202</v>
      </c>
      <c r="R118">
        <v>4</v>
      </c>
    </row>
    <row r="119" spans="1:18" x14ac:dyDescent="0.45">
      <c r="A119" t="s">
        <v>203</v>
      </c>
      <c r="B119" s="3">
        <v>45392</v>
      </c>
      <c r="C119">
        <v>33</v>
      </c>
      <c r="D119" t="s">
        <v>27</v>
      </c>
      <c r="E119">
        <v>66.099999999999994</v>
      </c>
      <c r="F119">
        <v>171</v>
      </c>
      <c r="G119" s="4">
        <f t="shared" si="2"/>
        <v>22.605246058616327</v>
      </c>
      <c r="H119" t="s">
        <v>99</v>
      </c>
      <c r="I119" t="s">
        <v>151</v>
      </c>
      <c r="J119">
        <v>118</v>
      </c>
      <c r="K119">
        <v>76</v>
      </c>
      <c r="L119">
        <v>106</v>
      </c>
      <c r="M119">
        <v>1</v>
      </c>
      <c r="N119" s="5">
        <v>4211.7700000000004</v>
      </c>
      <c r="O119" t="s">
        <v>63</v>
      </c>
      <c r="P119" t="str">
        <f t="shared" si="3"/>
        <v>Hospital Central de Nampula</v>
      </c>
      <c r="Q119" t="s">
        <v>24</v>
      </c>
      <c r="R119">
        <v>5</v>
      </c>
    </row>
    <row r="120" spans="1:18" x14ac:dyDescent="0.45">
      <c r="A120" t="s">
        <v>204</v>
      </c>
      <c r="B120" s="3">
        <v>45106</v>
      </c>
      <c r="C120">
        <v>23</v>
      </c>
      <c r="D120" t="s">
        <v>27</v>
      </c>
      <c r="E120">
        <v>66.599999999999994</v>
      </c>
      <c r="F120">
        <v>162.6</v>
      </c>
      <c r="G120" s="4">
        <f t="shared" si="2"/>
        <v>25.190288803257037</v>
      </c>
      <c r="H120" t="s">
        <v>99</v>
      </c>
      <c r="I120" t="s">
        <v>105</v>
      </c>
      <c r="J120">
        <v>115</v>
      </c>
      <c r="K120">
        <v>69</v>
      </c>
      <c r="L120">
        <v>100</v>
      </c>
      <c r="M120">
        <v>1</v>
      </c>
      <c r="N120" s="5">
        <v>4378.34</v>
      </c>
      <c r="O120" t="s">
        <v>67</v>
      </c>
      <c r="P120" t="str">
        <f t="shared" si="3"/>
        <v>Hospital Provincial de Pemba</v>
      </c>
      <c r="Q120" t="s">
        <v>24</v>
      </c>
      <c r="R120">
        <v>5</v>
      </c>
    </row>
    <row r="121" spans="1:18" x14ac:dyDescent="0.45">
      <c r="A121" t="s">
        <v>205</v>
      </c>
      <c r="B121" s="3">
        <v>44938</v>
      </c>
      <c r="C121">
        <v>35</v>
      </c>
      <c r="D121" t="s">
        <v>27</v>
      </c>
      <c r="E121">
        <v>57.1</v>
      </c>
      <c r="F121">
        <v>160</v>
      </c>
      <c r="G121" s="4">
        <f t="shared" si="2"/>
        <v>22.304687499999996</v>
      </c>
      <c r="H121" t="s">
        <v>46</v>
      </c>
      <c r="I121" t="s">
        <v>47</v>
      </c>
      <c r="J121">
        <v>115</v>
      </c>
      <c r="K121">
        <v>65</v>
      </c>
      <c r="L121">
        <v>65</v>
      </c>
      <c r="M121">
        <v>8</v>
      </c>
      <c r="N121" s="5">
        <v>24104.98</v>
      </c>
      <c r="O121" t="s">
        <v>57</v>
      </c>
      <c r="P121" t="str">
        <f t="shared" si="3"/>
        <v>Hospital Provincial de Tete</v>
      </c>
      <c r="Q121" t="s">
        <v>202</v>
      </c>
      <c r="R121">
        <v>4</v>
      </c>
    </row>
    <row r="122" spans="1:18" x14ac:dyDescent="0.45">
      <c r="A122" t="s">
        <v>206</v>
      </c>
      <c r="B122" s="3">
        <v>45153</v>
      </c>
      <c r="C122">
        <v>19</v>
      </c>
      <c r="D122" t="s">
        <v>20</v>
      </c>
      <c r="E122">
        <v>50.9</v>
      </c>
      <c r="F122">
        <v>164.4</v>
      </c>
      <c r="G122" s="4">
        <f t="shared" si="2"/>
        <v>18.832767980298481</v>
      </c>
      <c r="H122" t="s">
        <v>34</v>
      </c>
      <c r="I122" t="s">
        <v>126</v>
      </c>
      <c r="J122">
        <v>115</v>
      </c>
      <c r="K122">
        <v>63</v>
      </c>
      <c r="L122">
        <v>91</v>
      </c>
      <c r="M122">
        <v>4</v>
      </c>
      <c r="N122" s="5">
        <v>6976.53</v>
      </c>
      <c r="O122" t="s">
        <v>51</v>
      </c>
      <c r="P122" t="str">
        <f t="shared" si="3"/>
        <v>Hospital Central de Quelimane</v>
      </c>
      <c r="Q122" t="s">
        <v>37</v>
      </c>
      <c r="R122">
        <v>2</v>
      </c>
    </row>
    <row r="123" spans="1:18" x14ac:dyDescent="0.45">
      <c r="A123" t="s">
        <v>207</v>
      </c>
      <c r="B123" s="3">
        <v>45384</v>
      </c>
      <c r="C123">
        <v>32</v>
      </c>
      <c r="D123" t="s">
        <v>27</v>
      </c>
      <c r="E123">
        <v>57.9</v>
      </c>
      <c r="F123">
        <v>161.69999999999999</v>
      </c>
      <c r="G123" s="4">
        <f t="shared" si="2"/>
        <v>22.14412498006455</v>
      </c>
      <c r="H123" t="s">
        <v>21</v>
      </c>
      <c r="I123" t="s">
        <v>70</v>
      </c>
      <c r="J123">
        <v>109</v>
      </c>
      <c r="K123">
        <v>64</v>
      </c>
      <c r="L123">
        <v>118</v>
      </c>
      <c r="M123">
        <v>1</v>
      </c>
      <c r="N123" s="5">
        <v>3780.18</v>
      </c>
      <c r="O123" t="s">
        <v>23</v>
      </c>
      <c r="P123" t="str">
        <f t="shared" si="3"/>
        <v>Hospital Central de Maputo</v>
      </c>
      <c r="Q123" t="s">
        <v>24</v>
      </c>
      <c r="R123">
        <v>5</v>
      </c>
    </row>
    <row r="124" spans="1:18" x14ac:dyDescent="0.45">
      <c r="A124" t="s">
        <v>208</v>
      </c>
      <c r="B124" s="3">
        <v>45391</v>
      </c>
      <c r="C124">
        <v>32</v>
      </c>
      <c r="D124" t="s">
        <v>20</v>
      </c>
      <c r="E124">
        <v>59.2</v>
      </c>
      <c r="F124">
        <v>163.80000000000001</v>
      </c>
      <c r="G124" s="4">
        <f t="shared" si="2"/>
        <v>22.064490928959792</v>
      </c>
      <c r="H124" t="s">
        <v>41</v>
      </c>
      <c r="I124" t="s">
        <v>161</v>
      </c>
      <c r="J124">
        <v>103</v>
      </c>
      <c r="K124">
        <v>68</v>
      </c>
      <c r="L124">
        <v>91</v>
      </c>
      <c r="M124">
        <v>1</v>
      </c>
      <c r="N124" s="5">
        <v>2227.56</v>
      </c>
      <c r="O124" t="s">
        <v>43</v>
      </c>
      <c r="P124" t="str">
        <f t="shared" si="3"/>
        <v>Hospital Central da Beira</v>
      </c>
      <c r="Q124" t="s">
        <v>24</v>
      </c>
      <c r="R124">
        <v>4</v>
      </c>
    </row>
    <row r="125" spans="1:18" x14ac:dyDescent="0.45">
      <c r="A125" t="s">
        <v>209</v>
      </c>
      <c r="B125" s="3">
        <v>44988</v>
      </c>
      <c r="C125">
        <v>24</v>
      </c>
      <c r="D125" t="s">
        <v>20</v>
      </c>
      <c r="E125">
        <v>66.400000000000006</v>
      </c>
      <c r="F125">
        <v>164.3</v>
      </c>
      <c r="G125" s="4">
        <f t="shared" si="2"/>
        <v>24.597612327552774</v>
      </c>
      <c r="H125" t="s">
        <v>34</v>
      </c>
      <c r="I125" t="s">
        <v>138</v>
      </c>
      <c r="J125">
        <v>89</v>
      </c>
      <c r="K125">
        <v>63</v>
      </c>
      <c r="L125">
        <v>84</v>
      </c>
      <c r="M125">
        <v>2</v>
      </c>
      <c r="N125" s="5">
        <v>8152.83</v>
      </c>
      <c r="O125" t="s">
        <v>63</v>
      </c>
      <c r="P125" t="str">
        <f t="shared" si="3"/>
        <v>Hospital Central de Nampula</v>
      </c>
      <c r="Q125" t="s">
        <v>37</v>
      </c>
      <c r="R125">
        <v>4</v>
      </c>
    </row>
    <row r="126" spans="1:18" x14ac:dyDescent="0.45">
      <c r="A126" t="s">
        <v>210</v>
      </c>
      <c r="B126" s="3">
        <v>45626</v>
      </c>
      <c r="C126">
        <v>31</v>
      </c>
      <c r="D126" t="s">
        <v>20</v>
      </c>
      <c r="E126">
        <v>45</v>
      </c>
      <c r="F126">
        <v>167.6</v>
      </c>
      <c r="G126" s="4">
        <f t="shared" si="2"/>
        <v>16.020072795210783</v>
      </c>
      <c r="H126" t="s">
        <v>46</v>
      </c>
      <c r="I126" t="s">
        <v>66</v>
      </c>
      <c r="J126">
        <v>108</v>
      </c>
      <c r="K126">
        <v>67</v>
      </c>
      <c r="L126">
        <v>90</v>
      </c>
      <c r="M126">
        <v>1</v>
      </c>
      <c r="N126" s="5">
        <v>4274.08</v>
      </c>
      <c r="O126" t="s">
        <v>52</v>
      </c>
      <c r="P126" t="str">
        <f t="shared" si="3"/>
        <v>Hospital Provincial de Chimoio</v>
      </c>
      <c r="Q126" t="s">
        <v>24</v>
      </c>
      <c r="R126">
        <v>5</v>
      </c>
    </row>
    <row r="127" spans="1:18" x14ac:dyDescent="0.45">
      <c r="A127" t="s">
        <v>211</v>
      </c>
      <c r="B127" s="3">
        <v>45180</v>
      </c>
      <c r="C127">
        <v>31</v>
      </c>
      <c r="D127" t="s">
        <v>27</v>
      </c>
      <c r="E127">
        <v>81.3</v>
      </c>
      <c r="F127">
        <v>183.9</v>
      </c>
      <c r="G127" s="4">
        <f t="shared" si="2"/>
        <v>24.039591699510428</v>
      </c>
      <c r="H127" t="s">
        <v>91</v>
      </c>
      <c r="I127" t="s">
        <v>92</v>
      </c>
      <c r="J127">
        <v>115</v>
      </c>
      <c r="K127">
        <v>60</v>
      </c>
      <c r="L127">
        <v>65</v>
      </c>
      <c r="M127">
        <v>8</v>
      </c>
      <c r="N127" s="5">
        <v>12436.86</v>
      </c>
      <c r="O127" t="s">
        <v>57</v>
      </c>
      <c r="P127" t="str">
        <f t="shared" si="3"/>
        <v>Hospital Provincial de Tete</v>
      </c>
      <c r="Q127" t="s">
        <v>24</v>
      </c>
      <c r="R127">
        <v>4</v>
      </c>
    </row>
    <row r="128" spans="1:18" x14ac:dyDescent="0.45">
      <c r="A128" t="s">
        <v>212</v>
      </c>
      <c r="B128" s="3">
        <v>44976</v>
      </c>
      <c r="C128">
        <v>27</v>
      </c>
      <c r="D128" t="s">
        <v>20</v>
      </c>
      <c r="E128">
        <v>64.599999999999994</v>
      </c>
      <c r="F128">
        <v>166.8</v>
      </c>
      <c r="G128" s="4">
        <f t="shared" si="2"/>
        <v>23.218835003939287</v>
      </c>
      <c r="H128" t="s">
        <v>46</v>
      </c>
      <c r="I128" t="s">
        <v>94</v>
      </c>
      <c r="J128">
        <v>90</v>
      </c>
      <c r="K128">
        <v>67</v>
      </c>
      <c r="L128">
        <v>132</v>
      </c>
      <c r="M128">
        <v>1</v>
      </c>
      <c r="N128" s="5">
        <v>5393.66</v>
      </c>
      <c r="O128" t="s">
        <v>57</v>
      </c>
      <c r="P128" t="str">
        <f t="shared" si="3"/>
        <v>Hospital Provincial de Tete</v>
      </c>
      <c r="Q128" t="s">
        <v>24</v>
      </c>
      <c r="R128">
        <v>5</v>
      </c>
    </row>
    <row r="129" spans="1:18" x14ac:dyDescent="0.45">
      <c r="A129" t="s">
        <v>213</v>
      </c>
      <c r="B129" s="3">
        <v>45169</v>
      </c>
      <c r="C129">
        <v>36</v>
      </c>
      <c r="D129" t="s">
        <v>27</v>
      </c>
      <c r="E129">
        <v>62.7</v>
      </c>
      <c r="F129">
        <v>162</v>
      </c>
      <c r="G129" s="4">
        <f t="shared" si="2"/>
        <v>23.891175125743022</v>
      </c>
      <c r="H129" t="s">
        <v>99</v>
      </c>
      <c r="I129" t="s">
        <v>100</v>
      </c>
      <c r="J129">
        <v>118</v>
      </c>
      <c r="K129">
        <v>84</v>
      </c>
      <c r="L129">
        <v>77</v>
      </c>
      <c r="M129">
        <v>9</v>
      </c>
      <c r="N129" s="5">
        <v>22982.38</v>
      </c>
      <c r="O129" t="s">
        <v>52</v>
      </c>
      <c r="P129" t="str">
        <f t="shared" si="3"/>
        <v>Hospital Provincial de Chimoio</v>
      </c>
      <c r="Q129" t="s">
        <v>76</v>
      </c>
      <c r="R129">
        <v>5</v>
      </c>
    </row>
    <row r="130" spans="1:18" x14ac:dyDescent="0.45">
      <c r="A130" t="s">
        <v>214</v>
      </c>
      <c r="B130" s="3">
        <v>45614</v>
      </c>
      <c r="C130">
        <v>30</v>
      </c>
      <c r="D130" t="s">
        <v>27</v>
      </c>
      <c r="E130">
        <v>61.6</v>
      </c>
      <c r="F130">
        <v>171.5</v>
      </c>
      <c r="G130" s="4">
        <f t="shared" ref="G130:G193" si="4">E130/((F130/100)^2)</f>
        <v>20.943654429701908</v>
      </c>
      <c r="H130" t="s">
        <v>46</v>
      </c>
      <c r="I130" t="s">
        <v>94</v>
      </c>
      <c r="J130">
        <v>119</v>
      </c>
      <c r="K130">
        <v>69</v>
      </c>
      <c r="L130">
        <v>85</v>
      </c>
      <c r="M130">
        <v>1</v>
      </c>
      <c r="N130" s="5">
        <v>3919.84</v>
      </c>
      <c r="O130" t="s">
        <v>43</v>
      </c>
      <c r="P130" t="str">
        <f t="shared" ref="P130:P193" si="5">INDEX($U$2:$U$12,MATCH(O130,$T$2:$T$12,0))</f>
        <v>Hospital Central da Beira</v>
      </c>
      <c r="Q130" t="s">
        <v>24</v>
      </c>
      <c r="R130">
        <v>4</v>
      </c>
    </row>
    <row r="131" spans="1:18" x14ac:dyDescent="0.45">
      <c r="A131" t="s">
        <v>215</v>
      </c>
      <c r="B131" s="3">
        <v>45353</v>
      </c>
      <c r="C131">
        <v>37</v>
      </c>
      <c r="D131" t="s">
        <v>20</v>
      </c>
      <c r="E131">
        <v>84.5</v>
      </c>
      <c r="F131">
        <v>171.1</v>
      </c>
      <c r="G131" s="4">
        <f t="shared" si="4"/>
        <v>28.864011564733442</v>
      </c>
      <c r="H131" t="s">
        <v>91</v>
      </c>
      <c r="I131" t="s">
        <v>92</v>
      </c>
      <c r="J131">
        <v>103</v>
      </c>
      <c r="K131">
        <v>71</v>
      </c>
      <c r="L131">
        <v>105</v>
      </c>
      <c r="M131">
        <v>1</v>
      </c>
      <c r="N131" s="5">
        <v>4205.84</v>
      </c>
      <c r="O131" t="s">
        <v>57</v>
      </c>
      <c r="P131" t="str">
        <f t="shared" si="5"/>
        <v>Hospital Provincial de Tete</v>
      </c>
      <c r="Q131" t="s">
        <v>37</v>
      </c>
      <c r="R131">
        <v>3</v>
      </c>
    </row>
    <row r="132" spans="1:18" x14ac:dyDescent="0.45">
      <c r="A132" t="s">
        <v>216</v>
      </c>
      <c r="B132" s="3">
        <v>45528</v>
      </c>
      <c r="C132">
        <v>48</v>
      </c>
      <c r="D132" t="s">
        <v>20</v>
      </c>
      <c r="E132">
        <v>65.900000000000006</v>
      </c>
      <c r="F132">
        <v>157.1</v>
      </c>
      <c r="G132" s="4">
        <f t="shared" si="4"/>
        <v>26.701339240312461</v>
      </c>
      <c r="H132" t="s">
        <v>41</v>
      </c>
      <c r="I132" t="s">
        <v>217</v>
      </c>
      <c r="J132">
        <v>126</v>
      </c>
      <c r="K132">
        <v>77</v>
      </c>
      <c r="L132">
        <v>65</v>
      </c>
      <c r="M132">
        <v>5</v>
      </c>
      <c r="N132" s="5">
        <v>17772.52</v>
      </c>
      <c r="O132" t="s">
        <v>51</v>
      </c>
      <c r="P132" t="str">
        <f t="shared" si="5"/>
        <v>Hospital Central de Quelimane</v>
      </c>
      <c r="Q132" t="s">
        <v>24</v>
      </c>
      <c r="R132">
        <v>3</v>
      </c>
    </row>
    <row r="133" spans="1:18" x14ac:dyDescent="0.45">
      <c r="A133" t="s">
        <v>218</v>
      </c>
      <c r="B133" s="3">
        <v>45256</v>
      </c>
      <c r="C133">
        <v>22</v>
      </c>
      <c r="D133" t="s">
        <v>27</v>
      </c>
      <c r="E133">
        <v>48.2</v>
      </c>
      <c r="F133">
        <v>161.19999999999999</v>
      </c>
      <c r="G133" s="4">
        <f t="shared" si="4"/>
        <v>18.548848893842095</v>
      </c>
      <c r="H133" t="s">
        <v>91</v>
      </c>
      <c r="I133" t="s">
        <v>116</v>
      </c>
      <c r="J133">
        <v>127</v>
      </c>
      <c r="K133">
        <v>68</v>
      </c>
      <c r="L133">
        <v>95</v>
      </c>
      <c r="M133">
        <v>5</v>
      </c>
      <c r="N133" s="5">
        <v>14851.46</v>
      </c>
      <c r="O133" t="s">
        <v>31</v>
      </c>
      <c r="P133" t="str">
        <f t="shared" si="5"/>
        <v>Hospital Provincial da Matola</v>
      </c>
      <c r="Q133" t="s">
        <v>24</v>
      </c>
      <c r="R133">
        <v>2</v>
      </c>
    </row>
    <row r="134" spans="1:18" x14ac:dyDescent="0.45">
      <c r="A134" t="s">
        <v>219</v>
      </c>
      <c r="B134" s="3">
        <v>45153</v>
      </c>
      <c r="C134">
        <v>18</v>
      </c>
      <c r="D134" t="s">
        <v>20</v>
      </c>
      <c r="E134">
        <v>61.8</v>
      </c>
      <c r="F134">
        <v>159.1</v>
      </c>
      <c r="G134" s="4">
        <f t="shared" si="4"/>
        <v>24.414515812349556</v>
      </c>
      <c r="H134" t="s">
        <v>21</v>
      </c>
      <c r="I134" t="s">
        <v>89</v>
      </c>
      <c r="J134">
        <v>139</v>
      </c>
      <c r="K134">
        <v>87</v>
      </c>
      <c r="L134">
        <v>110</v>
      </c>
      <c r="M134">
        <v>1</v>
      </c>
      <c r="N134" s="5">
        <v>5691.22</v>
      </c>
      <c r="O134" t="s">
        <v>30</v>
      </c>
      <c r="P134" t="str">
        <f t="shared" si="5"/>
        <v>Hospital Provincial de Inhambane</v>
      </c>
      <c r="Q134" t="s">
        <v>24</v>
      </c>
      <c r="R134">
        <v>4</v>
      </c>
    </row>
    <row r="135" spans="1:18" x14ac:dyDescent="0.45">
      <c r="A135" t="s">
        <v>220</v>
      </c>
      <c r="B135" s="3">
        <v>45584</v>
      </c>
      <c r="C135">
        <v>36</v>
      </c>
      <c r="D135" t="s">
        <v>27</v>
      </c>
      <c r="E135">
        <v>61.4</v>
      </c>
      <c r="F135">
        <v>154.69999999999999</v>
      </c>
      <c r="G135" s="4">
        <f t="shared" si="4"/>
        <v>25.655928922212816</v>
      </c>
      <c r="H135" t="s">
        <v>41</v>
      </c>
      <c r="I135" t="s">
        <v>113</v>
      </c>
      <c r="J135">
        <v>125</v>
      </c>
      <c r="K135">
        <v>84</v>
      </c>
      <c r="L135">
        <v>78</v>
      </c>
      <c r="M135">
        <v>4</v>
      </c>
      <c r="N135" s="5">
        <v>4845.1899999999996</v>
      </c>
      <c r="O135" t="s">
        <v>63</v>
      </c>
      <c r="P135" t="str">
        <f t="shared" si="5"/>
        <v>Hospital Central de Nampula</v>
      </c>
      <c r="Q135" t="s">
        <v>202</v>
      </c>
      <c r="R135">
        <v>4</v>
      </c>
    </row>
    <row r="136" spans="1:18" x14ac:dyDescent="0.45">
      <c r="A136" t="s">
        <v>221</v>
      </c>
      <c r="B136" s="3">
        <v>44933</v>
      </c>
      <c r="C136">
        <v>7</v>
      </c>
      <c r="D136" t="s">
        <v>27</v>
      </c>
      <c r="E136">
        <v>22.7</v>
      </c>
      <c r="F136">
        <v>104.1</v>
      </c>
      <c r="G136" s="4">
        <f t="shared" si="4"/>
        <v>20.947123738443327</v>
      </c>
      <c r="H136" t="s">
        <v>28</v>
      </c>
      <c r="I136" t="s">
        <v>29</v>
      </c>
      <c r="J136">
        <v>91</v>
      </c>
      <c r="K136">
        <v>56</v>
      </c>
      <c r="L136">
        <v>67</v>
      </c>
      <c r="M136">
        <v>3</v>
      </c>
      <c r="N136" s="5">
        <v>8146.46</v>
      </c>
      <c r="O136" t="s">
        <v>23</v>
      </c>
      <c r="P136" t="str">
        <f t="shared" si="5"/>
        <v>Hospital Central de Maputo</v>
      </c>
      <c r="Q136" t="s">
        <v>24</v>
      </c>
      <c r="R136">
        <v>1</v>
      </c>
    </row>
    <row r="137" spans="1:18" x14ac:dyDescent="0.45">
      <c r="A137" t="s">
        <v>222</v>
      </c>
      <c r="B137" s="3">
        <v>45469</v>
      </c>
      <c r="C137">
        <v>20</v>
      </c>
      <c r="D137" t="s">
        <v>27</v>
      </c>
      <c r="E137">
        <v>66.400000000000006</v>
      </c>
      <c r="F137">
        <v>179.4</v>
      </c>
      <c r="G137" s="4">
        <f t="shared" si="4"/>
        <v>20.631138851292988</v>
      </c>
      <c r="H137" t="s">
        <v>55</v>
      </c>
      <c r="I137" t="s">
        <v>62</v>
      </c>
      <c r="J137">
        <v>98</v>
      </c>
      <c r="K137">
        <v>55</v>
      </c>
      <c r="L137">
        <v>95</v>
      </c>
      <c r="M137">
        <v>1</v>
      </c>
      <c r="N137" s="5">
        <v>3937.45</v>
      </c>
      <c r="O137" t="s">
        <v>52</v>
      </c>
      <c r="P137" t="str">
        <f t="shared" si="5"/>
        <v>Hospital Provincial de Chimoio</v>
      </c>
      <c r="Q137" t="s">
        <v>37</v>
      </c>
      <c r="R137">
        <v>3</v>
      </c>
    </row>
    <row r="138" spans="1:18" x14ac:dyDescent="0.45">
      <c r="A138" t="s">
        <v>223</v>
      </c>
      <c r="B138" s="3">
        <v>45333</v>
      </c>
      <c r="C138">
        <v>33</v>
      </c>
      <c r="D138" t="s">
        <v>20</v>
      </c>
      <c r="E138">
        <v>66.3</v>
      </c>
      <c r="F138">
        <v>156.5</v>
      </c>
      <c r="G138" s="4">
        <f t="shared" si="4"/>
        <v>27.06978738172279</v>
      </c>
      <c r="H138" t="s">
        <v>91</v>
      </c>
      <c r="I138" t="s">
        <v>131</v>
      </c>
      <c r="J138">
        <v>109</v>
      </c>
      <c r="K138">
        <v>62</v>
      </c>
      <c r="L138">
        <v>92</v>
      </c>
      <c r="M138">
        <v>19</v>
      </c>
      <c r="N138" s="5">
        <v>46198.61</v>
      </c>
      <c r="O138" t="s">
        <v>43</v>
      </c>
      <c r="P138" t="str">
        <f t="shared" si="5"/>
        <v>Hospital Central da Beira</v>
      </c>
      <c r="Q138" t="s">
        <v>24</v>
      </c>
      <c r="R138">
        <v>4</v>
      </c>
    </row>
    <row r="139" spans="1:18" x14ac:dyDescent="0.45">
      <c r="A139" t="s">
        <v>224</v>
      </c>
      <c r="B139" s="3">
        <v>45579</v>
      </c>
      <c r="C139">
        <v>31</v>
      </c>
      <c r="D139" t="s">
        <v>20</v>
      </c>
      <c r="E139">
        <v>64</v>
      </c>
      <c r="F139">
        <v>153.4</v>
      </c>
      <c r="G139" s="4">
        <f t="shared" si="4"/>
        <v>27.197516866710068</v>
      </c>
      <c r="H139" t="s">
        <v>46</v>
      </c>
      <c r="I139" t="s">
        <v>47</v>
      </c>
      <c r="J139">
        <v>115</v>
      </c>
      <c r="K139">
        <v>63</v>
      </c>
      <c r="L139">
        <v>94</v>
      </c>
      <c r="M139">
        <v>3</v>
      </c>
      <c r="N139" s="5">
        <v>4249</v>
      </c>
      <c r="O139" t="s">
        <v>63</v>
      </c>
      <c r="P139" t="str">
        <f t="shared" si="5"/>
        <v>Hospital Central de Nampula</v>
      </c>
      <c r="Q139" t="s">
        <v>37</v>
      </c>
      <c r="R139">
        <v>4</v>
      </c>
    </row>
    <row r="140" spans="1:18" x14ac:dyDescent="0.45">
      <c r="A140" t="s">
        <v>225</v>
      </c>
      <c r="B140" s="3">
        <v>44974</v>
      </c>
      <c r="C140">
        <v>32</v>
      </c>
      <c r="D140" t="s">
        <v>20</v>
      </c>
      <c r="E140">
        <v>54.9</v>
      </c>
      <c r="F140">
        <v>172.3</v>
      </c>
      <c r="G140" s="4">
        <f t="shared" si="4"/>
        <v>18.492762390908702</v>
      </c>
      <c r="H140" t="s">
        <v>46</v>
      </c>
      <c r="I140" t="s">
        <v>108</v>
      </c>
      <c r="J140">
        <v>139</v>
      </c>
      <c r="K140">
        <v>89</v>
      </c>
      <c r="L140">
        <v>71</v>
      </c>
      <c r="M140">
        <v>3</v>
      </c>
      <c r="N140" s="5">
        <v>10699.96</v>
      </c>
      <c r="O140" t="s">
        <v>43</v>
      </c>
      <c r="P140" t="str">
        <f t="shared" si="5"/>
        <v>Hospital Central da Beira</v>
      </c>
      <c r="Q140" t="s">
        <v>24</v>
      </c>
      <c r="R140">
        <v>3</v>
      </c>
    </row>
    <row r="141" spans="1:18" x14ac:dyDescent="0.45">
      <c r="A141" t="s">
        <v>226</v>
      </c>
      <c r="B141" s="3">
        <v>45173</v>
      </c>
      <c r="C141">
        <v>77</v>
      </c>
      <c r="D141" t="s">
        <v>27</v>
      </c>
      <c r="E141">
        <v>77.099999999999994</v>
      </c>
      <c r="F141">
        <v>152</v>
      </c>
      <c r="G141" s="4">
        <f t="shared" si="4"/>
        <v>33.370844875346258</v>
      </c>
      <c r="H141" t="s">
        <v>46</v>
      </c>
      <c r="I141" t="s">
        <v>108</v>
      </c>
      <c r="J141">
        <v>135</v>
      </c>
      <c r="K141">
        <v>74</v>
      </c>
      <c r="L141">
        <v>119</v>
      </c>
      <c r="M141">
        <v>1</v>
      </c>
      <c r="N141" s="5">
        <v>2444.3200000000002</v>
      </c>
      <c r="O141" t="s">
        <v>23</v>
      </c>
      <c r="P141" t="str">
        <f t="shared" si="5"/>
        <v>Hospital Central de Maputo</v>
      </c>
      <c r="Q141" t="s">
        <v>24</v>
      </c>
      <c r="R141">
        <v>4</v>
      </c>
    </row>
    <row r="142" spans="1:18" x14ac:dyDescent="0.45">
      <c r="A142" t="s">
        <v>227</v>
      </c>
      <c r="B142" s="3">
        <v>45536</v>
      </c>
      <c r="C142">
        <v>51</v>
      </c>
      <c r="D142" t="s">
        <v>27</v>
      </c>
      <c r="E142">
        <v>65.8</v>
      </c>
      <c r="F142">
        <v>170.1</v>
      </c>
      <c r="G142" s="4">
        <f t="shared" si="4"/>
        <v>22.74140362846353</v>
      </c>
      <c r="H142" t="s">
        <v>34</v>
      </c>
      <c r="I142" t="s">
        <v>126</v>
      </c>
      <c r="J142">
        <v>134</v>
      </c>
      <c r="K142">
        <v>82</v>
      </c>
      <c r="L142">
        <v>65</v>
      </c>
      <c r="M142">
        <v>2</v>
      </c>
      <c r="N142" s="5">
        <v>7574.68</v>
      </c>
      <c r="O142" t="s">
        <v>23</v>
      </c>
      <c r="P142" t="str">
        <f t="shared" si="5"/>
        <v>Hospital Central de Maputo</v>
      </c>
      <c r="Q142" t="s">
        <v>24</v>
      </c>
      <c r="R142">
        <v>5</v>
      </c>
    </row>
    <row r="143" spans="1:18" x14ac:dyDescent="0.45">
      <c r="A143" t="s">
        <v>228</v>
      </c>
      <c r="B143" s="3">
        <v>45657</v>
      </c>
      <c r="C143">
        <v>69</v>
      </c>
      <c r="D143" t="s">
        <v>20</v>
      </c>
      <c r="E143">
        <v>78.400000000000006</v>
      </c>
      <c r="F143">
        <v>151.5</v>
      </c>
      <c r="G143" s="4">
        <f t="shared" si="4"/>
        <v>34.157871232667823</v>
      </c>
      <c r="H143" t="s">
        <v>21</v>
      </c>
      <c r="I143" t="s">
        <v>70</v>
      </c>
      <c r="J143">
        <v>134</v>
      </c>
      <c r="K143">
        <v>87</v>
      </c>
      <c r="L143">
        <v>97</v>
      </c>
      <c r="M143">
        <v>11</v>
      </c>
      <c r="N143" s="5">
        <v>24111.99</v>
      </c>
      <c r="O143" t="s">
        <v>23</v>
      </c>
      <c r="P143" t="str">
        <f t="shared" si="5"/>
        <v>Hospital Central de Maputo</v>
      </c>
      <c r="Q143" t="s">
        <v>24</v>
      </c>
      <c r="R143">
        <v>4</v>
      </c>
    </row>
    <row r="144" spans="1:18" x14ac:dyDescent="0.45">
      <c r="A144" t="s">
        <v>229</v>
      </c>
      <c r="B144" s="3">
        <v>45497</v>
      </c>
      <c r="C144">
        <v>43</v>
      </c>
      <c r="D144" t="s">
        <v>27</v>
      </c>
      <c r="E144">
        <v>68.2</v>
      </c>
      <c r="F144">
        <v>160.6</v>
      </c>
      <c r="G144" s="4">
        <f t="shared" si="4"/>
        <v>26.441938620583777</v>
      </c>
      <c r="H144" t="s">
        <v>21</v>
      </c>
      <c r="I144" t="s">
        <v>22</v>
      </c>
      <c r="J144">
        <v>133</v>
      </c>
      <c r="K144">
        <v>79</v>
      </c>
      <c r="L144">
        <v>79</v>
      </c>
      <c r="M144">
        <v>1</v>
      </c>
      <c r="N144" s="5">
        <v>4488.33</v>
      </c>
      <c r="O144" t="s">
        <v>63</v>
      </c>
      <c r="P144" t="str">
        <f t="shared" si="5"/>
        <v>Hospital Central de Nampula</v>
      </c>
      <c r="Q144" t="s">
        <v>76</v>
      </c>
      <c r="R144">
        <v>4</v>
      </c>
    </row>
    <row r="145" spans="1:18" x14ac:dyDescent="0.45">
      <c r="A145" t="s">
        <v>230</v>
      </c>
      <c r="B145" s="3">
        <v>45100</v>
      </c>
      <c r="C145">
        <v>8</v>
      </c>
      <c r="D145" t="s">
        <v>27</v>
      </c>
      <c r="E145">
        <v>23.4</v>
      </c>
      <c r="F145">
        <v>118.2</v>
      </c>
      <c r="G145" s="4">
        <f t="shared" si="4"/>
        <v>16.748692313638589</v>
      </c>
      <c r="H145" t="s">
        <v>28</v>
      </c>
      <c r="I145" t="s">
        <v>50</v>
      </c>
      <c r="J145">
        <v>109</v>
      </c>
      <c r="K145">
        <v>69</v>
      </c>
      <c r="L145">
        <v>99</v>
      </c>
      <c r="M145">
        <v>1</v>
      </c>
      <c r="N145" s="5">
        <v>4419.62</v>
      </c>
      <c r="O145" t="s">
        <v>67</v>
      </c>
      <c r="P145" t="str">
        <f t="shared" si="5"/>
        <v>Hospital Provincial de Pemba</v>
      </c>
      <c r="Q145" t="s">
        <v>24</v>
      </c>
      <c r="R145">
        <v>4</v>
      </c>
    </row>
    <row r="146" spans="1:18" x14ac:dyDescent="0.45">
      <c r="A146" t="s">
        <v>231</v>
      </c>
      <c r="B146" s="3">
        <v>45558</v>
      </c>
      <c r="C146">
        <v>39</v>
      </c>
      <c r="D146" t="s">
        <v>20</v>
      </c>
      <c r="E146">
        <v>55.8</v>
      </c>
      <c r="F146">
        <v>163.80000000000001</v>
      </c>
      <c r="G146" s="4">
        <f t="shared" si="4"/>
        <v>20.797273544526288</v>
      </c>
      <c r="H146" t="s">
        <v>41</v>
      </c>
      <c r="I146" t="s">
        <v>161</v>
      </c>
      <c r="J146">
        <v>130</v>
      </c>
      <c r="K146">
        <v>82</v>
      </c>
      <c r="L146">
        <v>74</v>
      </c>
      <c r="M146">
        <v>1</v>
      </c>
      <c r="N146" s="5">
        <v>6040.07</v>
      </c>
      <c r="O146" t="s">
        <v>36</v>
      </c>
      <c r="P146" t="str">
        <f t="shared" si="5"/>
        <v>Hospital Provincial de Lichinga</v>
      </c>
      <c r="Q146" t="s">
        <v>24</v>
      </c>
      <c r="R146">
        <v>4</v>
      </c>
    </row>
    <row r="147" spans="1:18" x14ac:dyDescent="0.45">
      <c r="A147" t="s">
        <v>232</v>
      </c>
      <c r="B147" s="3">
        <v>45638</v>
      </c>
      <c r="C147">
        <v>45</v>
      </c>
      <c r="D147" t="s">
        <v>20</v>
      </c>
      <c r="E147">
        <v>59.2</v>
      </c>
      <c r="F147">
        <v>171.1</v>
      </c>
      <c r="G147" s="4">
        <f t="shared" si="4"/>
        <v>20.221887392097276</v>
      </c>
      <c r="H147" t="s">
        <v>41</v>
      </c>
      <c r="I147" t="s">
        <v>42</v>
      </c>
      <c r="J147">
        <v>135</v>
      </c>
      <c r="K147">
        <v>75</v>
      </c>
      <c r="L147">
        <v>91</v>
      </c>
      <c r="M147">
        <v>1</v>
      </c>
      <c r="N147" s="5">
        <v>4896.0600000000004</v>
      </c>
      <c r="O147" t="s">
        <v>43</v>
      </c>
      <c r="P147" t="str">
        <f t="shared" si="5"/>
        <v>Hospital Central da Beira</v>
      </c>
      <c r="Q147" t="s">
        <v>24</v>
      </c>
      <c r="R147">
        <v>4</v>
      </c>
    </row>
    <row r="148" spans="1:18" x14ac:dyDescent="0.45">
      <c r="A148" t="s">
        <v>233</v>
      </c>
      <c r="B148" s="3">
        <v>45533</v>
      </c>
      <c r="C148">
        <v>18</v>
      </c>
      <c r="D148" t="s">
        <v>20</v>
      </c>
      <c r="E148">
        <v>71.7</v>
      </c>
      <c r="F148">
        <v>156.1</v>
      </c>
      <c r="G148" s="4">
        <f t="shared" si="4"/>
        <v>29.424788475988841</v>
      </c>
      <c r="H148" t="s">
        <v>46</v>
      </c>
      <c r="I148" t="s">
        <v>66</v>
      </c>
      <c r="J148">
        <v>104</v>
      </c>
      <c r="K148">
        <v>67</v>
      </c>
      <c r="L148">
        <v>65</v>
      </c>
      <c r="M148">
        <v>1</v>
      </c>
      <c r="N148" s="5">
        <v>5914.55</v>
      </c>
      <c r="O148" t="s">
        <v>51</v>
      </c>
      <c r="P148" t="str">
        <f t="shared" si="5"/>
        <v>Hospital Central de Quelimane</v>
      </c>
      <c r="Q148" t="s">
        <v>24</v>
      </c>
      <c r="R148">
        <v>4</v>
      </c>
    </row>
    <row r="149" spans="1:18" x14ac:dyDescent="0.45">
      <c r="A149" t="s">
        <v>234</v>
      </c>
      <c r="B149" s="3">
        <v>45185</v>
      </c>
      <c r="C149">
        <v>39</v>
      </c>
      <c r="D149" t="s">
        <v>20</v>
      </c>
      <c r="E149">
        <v>51.1</v>
      </c>
      <c r="F149">
        <v>159.6</v>
      </c>
      <c r="G149" s="4">
        <f t="shared" si="4"/>
        <v>20.061117706547073</v>
      </c>
      <c r="H149" t="s">
        <v>46</v>
      </c>
      <c r="I149" t="s">
        <v>66</v>
      </c>
      <c r="J149">
        <v>108</v>
      </c>
      <c r="K149">
        <v>77</v>
      </c>
      <c r="L149">
        <v>73</v>
      </c>
      <c r="M149">
        <v>2</v>
      </c>
      <c r="N149" s="5">
        <v>5571.25</v>
      </c>
      <c r="O149" t="s">
        <v>51</v>
      </c>
      <c r="P149" t="str">
        <f t="shared" si="5"/>
        <v>Hospital Central de Quelimane</v>
      </c>
      <c r="Q149" t="s">
        <v>37</v>
      </c>
      <c r="R149">
        <v>4</v>
      </c>
    </row>
    <row r="150" spans="1:18" x14ac:dyDescent="0.45">
      <c r="A150" t="s">
        <v>235</v>
      </c>
      <c r="B150" s="3">
        <v>45014</v>
      </c>
      <c r="C150">
        <v>29</v>
      </c>
      <c r="D150" t="s">
        <v>20</v>
      </c>
      <c r="E150">
        <v>48.1</v>
      </c>
      <c r="F150">
        <v>156</v>
      </c>
      <c r="G150" s="4">
        <f t="shared" si="4"/>
        <v>19.764957264957264</v>
      </c>
      <c r="H150" t="s">
        <v>46</v>
      </c>
      <c r="I150" t="s">
        <v>47</v>
      </c>
      <c r="J150">
        <v>104</v>
      </c>
      <c r="K150">
        <v>55</v>
      </c>
      <c r="L150">
        <v>65</v>
      </c>
      <c r="M150">
        <v>1</v>
      </c>
      <c r="N150" s="5">
        <v>3659.76</v>
      </c>
      <c r="O150" t="s">
        <v>23</v>
      </c>
      <c r="P150" t="str">
        <f t="shared" si="5"/>
        <v>Hospital Central de Maputo</v>
      </c>
      <c r="Q150" t="s">
        <v>24</v>
      </c>
      <c r="R150">
        <v>5</v>
      </c>
    </row>
    <row r="151" spans="1:18" x14ac:dyDescent="0.45">
      <c r="A151" t="s">
        <v>236</v>
      </c>
      <c r="B151" s="3">
        <v>45498</v>
      </c>
      <c r="C151">
        <v>18</v>
      </c>
      <c r="D151" t="s">
        <v>20</v>
      </c>
      <c r="E151">
        <v>62.5</v>
      </c>
      <c r="F151">
        <v>172.8</v>
      </c>
      <c r="G151" s="4">
        <f t="shared" si="4"/>
        <v>20.931123542524002</v>
      </c>
      <c r="H151" t="s">
        <v>41</v>
      </c>
      <c r="I151" t="s">
        <v>113</v>
      </c>
      <c r="J151">
        <v>134</v>
      </c>
      <c r="K151">
        <v>88</v>
      </c>
      <c r="L151">
        <v>99</v>
      </c>
      <c r="M151">
        <v>13</v>
      </c>
      <c r="N151" s="5">
        <v>18686.57</v>
      </c>
      <c r="O151" t="s">
        <v>23</v>
      </c>
      <c r="P151" t="str">
        <f t="shared" si="5"/>
        <v>Hospital Central de Maputo</v>
      </c>
      <c r="Q151" t="s">
        <v>24</v>
      </c>
      <c r="R151">
        <v>4</v>
      </c>
    </row>
    <row r="152" spans="1:18" x14ac:dyDescent="0.45">
      <c r="A152" t="s">
        <v>237</v>
      </c>
      <c r="B152" s="3">
        <v>45138</v>
      </c>
      <c r="C152">
        <v>60</v>
      </c>
      <c r="D152" t="s">
        <v>27</v>
      </c>
      <c r="E152">
        <v>59.7</v>
      </c>
      <c r="F152">
        <v>171.3</v>
      </c>
      <c r="G152" s="4">
        <f t="shared" si="4"/>
        <v>20.345089523505735</v>
      </c>
      <c r="H152" t="s">
        <v>91</v>
      </c>
      <c r="I152" t="s">
        <v>131</v>
      </c>
      <c r="J152">
        <v>133</v>
      </c>
      <c r="K152">
        <v>83</v>
      </c>
      <c r="L152">
        <v>83</v>
      </c>
      <c r="M152">
        <v>7</v>
      </c>
      <c r="N152" s="5">
        <v>19431.45</v>
      </c>
      <c r="O152" t="s">
        <v>31</v>
      </c>
      <c r="P152" t="str">
        <f t="shared" si="5"/>
        <v>Hospital Provincial da Matola</v>
      </c>
      <c r="Q152" t="s">
        <v>76</v>
      </c>
      <c r="R152">
        <v>3</v>
      </c>
    </row>
    <row r="153" spans="1:18" x14ac:dyDescent="0.45">
      <c r="A153" t="s">
        <v>238</v>
      </c>
      <c r="B153" s="3">
        <v>45105</v>
      </c>
      <c r="C153">
        <v>21</v>
      </c>
      <c r="D153" t="s">
        <v>20</v>
      </c>
      <c r="E153">
        <v>58.7</v>
      </c>
      <c r="F153">
        <v>167.5</v>
      </c>
      <c r="G153" s="4">
        <f t="shared" si="4"/>
        <v>20.922254399643574</v>
      </c>
      <c r="H153" t="s">
        <v>91</v>
      </c>
      <c r="I153" t="s">
        <v>131</v>
      </c>
      <c r="J153">
        <v>102</v>
      </c>
      <c r="K153">
        <v>59</v>
      </c>
      <c r="L153">
        <v>73</v>
      </c>
      <c r="M153">
        <v>5</v>
      </c>
      <c r="N153" s="5">
        <v>16649.3</v>
      </c>
      <c r="O153" t="s">
        <v>43</v>
      </c>
      <c r="P153" t="str">
        <f t="shared" si="5"/>
        <v>Hospital Central da Beira</v>
      </c>
      <c r="Q153" t="s">
        <v>24</v>
      </c>
      <c r="R153">
        <v>3</v>
      </c>
    </row>
    <row r="154" spans="1:18" x14ac:dyDescent="0.45">
      <c r="A154" t="s">
        <v>239</v>
      </c>
      <c r="B154" s="3">
        <v>45212</v>
      </c>
      <c r="C154">
        <v>44</v>
      </c>
      <c r="D154" t="s">
        <v>20</v>
      </c>
      <c r="E154">
        <v>57.9</v>
      </c>
      <c r="F154">
        <v>152.4</v>
      </c>
      <c r="G154" s="4">
        <f t="shared" si="4"/>
        <v>24.929216525099715</v>
      </c>
      <c r="H154" t="s">
        <v>55</v>
      </c>
      <c r="I154" t="s">
        <v>62</v>
      </c>
      <c r="J154">
        <v>129</v>
      </c>
      <c r="K154">
        <v>79</v>
      </c>
      <c r="L154">
        <v>126</v>
      </c>
      <c r="M154">
        <v>3</v>
      </c>
      <c r="N154" s="5">
        <v>11060.46</v>
      </c>
      <c r="O154" t="s">
        <v>57</v>
      </c>
      <c r="P154" t="str">
        <f t="shared" si="5"/>
        <v>Hospital Provincial de Tete</v>
      </c>
      <c r="Q154" t="s">
        <v>24</v>
      </c>
      <c r="R154">
        <v>4</v>
      </c>
    </row>
    <row r="155" spans="1:18" x14ac:dyDescent="0.45">
      <c r="A155" t="s">
        <v>240</v>
      </c>
      <c r="B155" s="3">
        <v>45395</v>
      </c>
      <c r="C155">
        <v>25</v>
      </c>
      <c r="D155" t="s">
        <v>27</v>
      </c>
      <c r="E155">
        <v>59.1</v>
      </c>
      <c r="F155">
        <v>155.69999999999999</v>
      </c>
      <c r="G155" s="4">
        <f t="shared" si="4"/>
        <v>24.378683872819998</v>
      </c>
      <c r="H155" t="s">
        <v>99</v>
      </c>
      <c r="I155" t="s">
        <v>105</v>
      </c>
      <c r="J155">
        <v>100</v>
      </c>
      <c r="K155">
        <v>62</v>
      </c>
      <c r="L155">
        <v>97</v>
      </c>
      <c r="M155">
        <v>1</v>
      </c>
      <c r="N155" s="5">
        <v>3029.36</v>
      </c>
      <c r="O155" t="s">
        <v>57</v>
      </c>
      <c r="P155" t="str">
        <f t="shared" si="5"/>
        <v>Hospital Provincial de Tete</v>
      </c>
      <c r="Q155" t="s">
        <v>24</v>
      </c>
      <c r="R155">
        <v>4</v>
      </c>
    </row>
    <row r="156" spans="1:18" x14ac:dyDescent="0.45">
      <c r="A156" t="s">
        <v>241</v>
      </c>
      <c r="B156" s="3">
        <v>45425</v>
      </c>
      <c r="C156">
        <v>28</v>
      </c>
      <c r="D156" t="s">
        <v>20</v>
      </c>
      <c r="E156">
        <v>73.099999999999994</v>
      </c>
      <c r="F156">
        <v>163.30000000000001</v>
      </c>
      <c r="G156" s="4">
        <f t="shared" si="4"/>
        <v>27.412270422235213</v>
      </c>
      <c r="H156" t="s">
        <v>55</v>
      </c>
      <c r="I156" t="s">
        <v>62</v>
      </c>
      <c r="J156">
        <v>97</v>
      </c>
      <c r="K156">
        <v>69</v>
      </c>
      <c r="L156">
        <v>65</v>
      </c>
      <c r="M156">
        <v>2</v>
      </c>
      <c r="N156" s="5">
        <v>5987.82</v>
      </c>
      <c r="O156" t="s">
        <v>57</v>
      </c>
      <c r="P156" t="str">
        <f t="shared" si="5"/>
        <v>Hospital Provincial de Tete</v>
      </c>
      <c r="Q156" t="s">
        <v>24</v>
      </c>
      <c r="R156">
        <v>4</v>
      </c>
    </row>
    <row r="157" spans="1:18" x14ac:dyDescent="0.45">
      <c r="A157" t="s">
        <v>242</v>
      </c>
      <c r="B157" s="3">
        <v>45430</v>
      </c>
      <c r="C157">
        <v>28</v>
      </c>
      <c r="D157" t="s">
        <v>27</v>
      </c>
      <c r="E157">
        <v>66.400000000000006</v>
      </c>
      <c r="F157">
        <v>164.9</v>
      </c>
      <c r="G157" s="4">
        <f t="shared" si="4"/>
        <v>24.418937768851954</v>
      </c>
      <c r="H157" t="s">
        <v>46</v>
      </c>
      <c r="I157" t="s">
        <v>47</v>
      </c>
      <c r="J157">
        <v>103</v>
      </c>
      <c r="K157">
        <v>68</v>
      </c>
      <c r="L157">
        <v>91</v>
      </c>
      <c r="M157">
        <v>1</v>
      </c>
      <c r="N157" s="5">
        <v>5049.22</v>
      </c>
      <c r="O157" t="s">
        <v>63</v>
      </c>
      <c r="P157" t="str">
        <f t="shared" si="5"/>
        <v>Hospital Central de Nampula</v>
      </c>
      <c r="Q157" t="s">
        <v>24</v>
      </c>
      <c r="R157">
        <v>4</v>
      </c>
    </row>
    <row r="158" spans="1:18" x14ac:dyDescent="0.45">
      <c r="A158" t="s">
        <v>243</v>
      </c>
      <c r="B158" s="3">
        <v>45513</v>
      </c>
      <c r="C158">
        <v>17</v>
      </c>
      <c r="D158" t="s">
        <v>20</v>
      </c>
      <c r="E158">
        <v>58.7</v>
      </c>
      <c r="F158">
        <v>148.4</v>
      </c>
      <c r="G158" s="4">
        <f t="shared" si="4"/>
        <v>26.654485218793823</v>
      </c>
      <c r="H158" t="s">
        <v>28</v>
      </c>
      <c r="I158" t="s">
        <v>50</v>
      </c>
      <c r="J158">
        <v>107</v>
      </c>
      <c r="K158">
        <v>59</v>
      </c>
      <c r="L158">
        <v>91</v>
      </c>
      <c r="M158">
        <v>5</v>
      </c>
      <c r="N158" s="5">
        <v>13384.57</v>
      </c>
      <c r="O158" t="s">
        <v>63</v>
      </c>
      <c r="P158" t="str">
        <f t="shared" si="5"/>
        <v>Hospital Central de Nampula</v>
      </c>
      <c r="Q158" t="s">
        <v>24</v>
      </c>
      <c r="R158">
        <v>3</v>
      </c>
    </row>
    <row r="159" spans="1:18" x14ac:dyDescent="0.45">
      <c r="A159" t="s">
        <v>244</v>
      </c>
      <c r="B159" s="3">
        <v>45016</v>
      </c>
      <c r="C159">
        <v>35</v>
      </c>
      <c r="D159" t="s">
        <v>27</v>
      </c>
      <c r="E159">
        <v>55.3</v>
      </c>
      <c r="F159">
        <v>164.1</v>
      </c>
      <c r="G159" s="4">
        <f t="shared" si="4"/>
        <v>20.535627084895321</v>
      </c>
      <c r="H159" t="s">
        <v>99</v>
      </c>
      <c r="I159" t="s">
        <v>105</v>
      </c>
      <c r="J159">
        <v>119</v>
      </c>
      <c r="K159">
        <v>66</v>
      </c>
      <c r="L159">
        <v>72</v>
      </c>
      <c r="M159">
        <v>4</v>
      </c>
      <c r="N159" s="5">
        <v>6158.66</v>
      </c>
      <c r="O159" t="s">
        <v>31</v>
      </c>
      <c r="P159" t="str">
        <f t="shared" si="5"/>
        <v>Hospital Provincial da Matola</v>
      </c>
      <c r="Q159" t="s">
        <v>24</v>
      </c>
      <c r="R159">
        <v>2</v>
      </c>
    </row>
    <row r="160" spans="1:18" x14ac:dyDescent="0.45">
      <c r="A160" t="s">
        <v>245</v>
      </c>
      <c r="B160" s="3">
        <v>45286</v>
      </c>
      <c r="C160">
        <v>59</v>
      </c>
      <c r="D160" t="s">
        <v>27</v>
      </c>
      <c r="E160">
        <v>80.8</v>
      </c>
      <c r="F160">
        <v>156.69999999999999</v>
      </c>
      <c r="G160" s="4">
        <f t="shared" si="4"/>
        <v>32.905869258628321</v>
      </c>
      <c r="H160" t="s">
        <v>55</v>
      </c>
      <c r="I160" t="s">
        <v>197</v>
      </c>
      <c r="J160">
        <v>121</v>
      </c>
      <c r="K160">
        <v>79</v>
      </c>
      <c r="L160">
        <v>124</v>
      </c>
      <c r="M160">
        <v>4</v>
      </c>
      <c r="N160" s="5">
        <v>9560.66</v>
      </c>
      <c r="O160" t="s">
        <v>63</v>
      </c>
      <c r="P160" t="str">
        <f t="shared" si="5"/>
        <v>Hospital Central de Nampula</v>
      </c>
      <c r="Q160" t="s">
        <v>37</v>
      </c>
      <c r="R160">
        <v>5</v>
      </c>
    </row>
    <row r="161" spans="1:18" x14ac:dyDescent="0.45">
      <c r="A161" t="s">
        <v>246</v>
      </c>
      <c r="B161" s="3">
        <v>45598</v>
      </c>
      <c r="C161">
        <v>18</v>
      </c>
      <c r="D161" t="s">
        <v>20</v>
      </c>
      <c r="E161">
        <v>82.9</v>
      </c>
      <c r="F161">
        <v>163</v>
      </c>
      <c r="G161" s="4">
        <f t="shared" si="4"/>
        <v>31.201776506454895</v>
      </c>
      <c r="H161" t="s">
        <v>46</v>
      </c>
      <c r="I161" t="s">
        <v>94</v>
      </c>
      <c r="J161">
        <v>116</v>
      </c>
      <c r="K161">
        <v>62</v>
      </c>
      <c r="L161">
        <v>78</v>
      </c>
      <c r="M161">
        <v>3</v>
      </c>
      <c r="N161" s="5">
        <v>6438.25</v>
      </c>
      <c r="O161" t="s">
        <v>43</v>
      </c>
      <c r="P161" t="str">
        <f t="shared" si="5"/>
        <v>Hospital Central da Beira</v>
      </c>
      <c r="Q161" t="s">
        <v>24</v>
      </c>
      <c r="R161">
        <v>5</v>
      </c>
    </row>
    <row r="162" spans="1:18" x14ac:dyDescent="0.45">
      <c r="A162" t="s">
        <v>247</v>
      </c>
      <c r="B162" s="3">
        <v>45022</v>
      </c>
      <c r="C162">
        <v>20</v>
      </c>
      <c r="D162" t="s">
        <v>27</v>
      </c>
      <c r="E162">
        <v>40.9</v>
      </c>
      <c r="F162">
        <v>156.69999999999999</v>
      </c>
      <c r="G162" s="4">
        <f t="shared" si="4"/>
        <v>16.656560057894779</v>
      </c>
      <c r="H162" t="s">
        <v>41</v>
      </c>
      <c r="I162" t="s">
        <v>42</v>
      </c>
      <c r="J162">
        <v>94</v>
      </c>
      <c r="K162">
        <v>60</v>
      </c>
      <c r="L162">
        <v>65</v>
      </c>
      <c r="M162">
        <v>7</v>
      </c>
      <c r="N162" s="5">
        <v>11413.25</v>
      </c>
      <c r="O162" t="s">
        <v>57</v>
      </c>
      <c r="P162" t="str">
        <f t="shared" si="5"/>
        <v>Hospital Provincial de Tete</v>
      </c>
      <c r="Q162" t="s">
        <v>24</v>
      </c>
      <c r="R162">
        <v>5</v>
      </c>
    </row>
    <row r="163" spans="1:18" x14ac:dyDescent="0.45">
      <c r="A163" t="s">
        <v>248</v>
      </c>
      <c r="B163" s="3">
        <v>45474</v>
      </c>
      <c r="C163">
        <v>13</v>
      </c>
      <c r="D163" t="s">
        <v>27</v>
      </c>
      <c r="E163">
        <v>53.4</v>
      </c>
      <c r="F163">
        <v>154.1</v>
      </c>
      <c r="G163" s="4">
        <f t="shared" si="4"/>
        <v>22.487230916489416</v>
      </c>
      <c r="H163" t="s">
        <v>28</v>
      </c>
      <c r="I163" t="s">
        <v>75</v>
      </c>
      <c r="J163">
        <v>105</v>
      </c>
      <c r="K163">
        <v>63</v>
      </c>
      <c r="L163">
        <v>109</v>
      </c>
      <c r="M163">
        <v>1</v>
      </c>
      <c r="N163" s="5">
        <v>5904.31</v>
      </c>
      <c r="O163" t="s">
        <v>63</v>
      </c>
      <c r="P163" t="str">
        <f t="shared" si="5"/>
        <v>Hospital Central de Nampula</v>
      </c>
      <c r="Q163" t="s">
        <v>24</v>
      </c>
      <c r="R163">
        <v>2</v>
      </c>
    </row>
    <row r="164" spans="1:18" x14ac:dyDescent="0.45">
      <c r="A164" t="s">
        <v>249</v>
      </c>
      <c r="B164" s="3">
        <v>45568</v>
      </c>
      <c r="C164">
        <v>47</v>
      </c>
      <c r="D164" t="s">
        <v>27</v>
      </c>
      <c r="E164">
        <v>94.2</v>
      </c>
      <c r="F164">
        <v>160.69999999999999</v>
      </c>
      <c r="G164" s="4">
        <f t="shared" si="4"/>
        <v>36.477003030843981</v>
      </c>
      <c r="H164" t="s">
        <v>21</v>
      </c>
      <c r="I164" t="s">
        <v>89</v>
      </c>
      <c r="J164">
        <v>143</v>
      </c>
      <c r="K164">
        <v>91</v>
      </c>
      <c r="L164">
        <v>116</v>
      </c>
      <c r="M164">
        <v>1</v>
      </c>
      <c r="N164" s="5">
        <v>3487.82</v>
      </c>
      <c r="O164" t="s">
        <v>67</v>
      </c>
      <c r="P164" t="str">
        <f t="shared" si="5"/>
        <v>Hospital Provincial de Pemba</v>
      </c>
      <c r="Q164" t="s">
        <v>24</v>
      </c>
      <c r="R164">
        <v>4</v>
      </c>
    </row>
    <row r="165" spans="1:18" x14ac:dyDescent="0.45">
      <c r="A165" t="s">
        <v>250</v>
      </c>
      <c r="B165" s="3">
        <v>45183</v>
      </c>
      <c r="C165">
        <v>46</v>
      </c>
      <c r="D165" t="s">
        <v>20</v>
      </c>
      <c r="E165">
        <v>50.4</v>
      </c>
      <c r="F165">
        <v>159.9</v>
      </c>
      <c r="G165" s="4">
        <f t="shared" si="4"/>
        <v>19.712132465530168</v>
      </c>
      <c r="H165" t="s">
        <v>91</v>
      </c>
      <c r="I165" t="s">
        <v>131</v>
      </c>
      <c r="J165">
        <v>104</v>
      </c>
      <c r="K165">
        <v>64</v>
      </c>
      <c r="L165">
        <v>71</v>
      </c>
      <c r="M165">
        <v>1</v>
      </c>
      <c r="N165" s="5">
        <v>2380.5300000000002</v>
      </c>
      <c r="O165" t="s">
        <v>23</v>
      </c>
      <c r="P165" t="str">
        <f t="shared" si="5"/>
        <v>Hospital Central de Maputo</v>
      </c>
      <c r="Q165" t="s">
        <v>24</v>
      </c>
      <c r="R165">
        <v>4</v>
      </c>
    </row>
    <row r="166" spans="1:18" x14ac:dyDescent="0.45">
      <c r="A166" t="s">
        <v>251</v>
      </c>
      <c r="B166" s="3">
        <v>45382</v>
      </c>
      <c r="C166">
        <v>33</v>
      </c>
      <c r="D166" t="s">
        <v>20</v>
      </c>
      <c r="E166">
        <v>59.3</v>
      </c>
      <c r="F166">
        <v>166.8</v>
      </c>
      <c r="G166" s="4">
        <f t="shared" si="4"/>
        <v>21.313884144482969</v>
      </c>
      <c r="H166" t="s">
        <v>21</v>
      </c>
      <c r="I166" t="s">
        <v>89</v>
      </c>
      <c r="J166">
        <v>125</v>
      </c>
      <c r="K166">
        <v>77</v>
      </c>
      <c r="L166">
        <v>97</v>
      </c>
      <c r="M166">
        <v>6</v>
      </c>
      <c r="N166" s="5">
        <v>8563.6200000000008</v>
      </c>
      <c r="O166" t="s">
        <v>38</v>
      </c>
      <c r="P166" t="str">
        <f t="shared" si="5"/>
        <v>Hospital Provincial de Xai-Xai</v>
      </c>
      <c r="Q166" t="s">
        <v>24</v>
      </c>
      <c r="R166">
        <v>5</v>
      </c>
    </row>
    <row r="167" spans="1:18" x14ac:dyDescent="0.45">
      <c r="A167" t="s">
        <v>252</v>
      </c>
      <c r="B167" s="3">
        <v>45063</v>
      </c>
      <c r="C167">
        <v>18</v>
      </c>
      <c r="D167" t="s">
        <v>20</v>
      </c>
      <c r="E167">
        <v>46.1</v>
      </c>
      <c r="F167">
        <v>158.19999999999999</v>
      </c>
      <c r="G167" s="4">
        <f t="shared" si="4"/>
        <v>18.419929644659181</v>
      </c>
      <c r="H167" t="s">
        <v>21</v>
      </c>
      <c r="I167" t="s">
        <v>70</v>
      </c>
      <c r="J167">
        <v>114</v>
      </c>
      <c r="K167">
        <v>68</v>
      </c>
      <c r="L167">
        <v>90</v>
      </c>
      <c r="M167">
        <v>2</v>
      </c>
      <c r="N167" s="5">
        <v>8224.09</v>
      </c>
      <c r="O167" t="s">
        <v>23</v>
      </c>
      <c r="P167" t="str">
        <f t="shared" si="5"/>
        <v>Hospital Central de Maputo</v>
      </c>
      <c r="Q167" t="s">
        <v>24</v>
      </c>
      <c r="R167">
        <v>5</v>
      </c>
    </row>
    <row r="168" spans="1:18" x14ac:dyDescent="0.45">
      <c r="A168" t="s">
        <v>253</v>
      </c>
      <c r="B168" s="3">
        <v>45530</v>
      </c>
      <c r="C168">
        <v>18</v>
      </c>
      <c r="D168" t="s">
        <v>27</v>
      </c>
      <c r="E168">
        <v>63.2</v>
      </c>
      <c r="F168">
        <v>169.8</v>
      </c>
      <c r="G168" s="4">
        <f t="shared" si="4"/>
        <v>21.920058379497252</v>
      </c>
      <c r="H168" t="s">
        <v>91</v>
      </c>
      <c r="I168" t="s">
        <v>110</v>
      </c>
      <c r="J168">
        <v>112</v>
      </c>
      <c r="K168">
        <v>61</v>
      </c>
      <c r="L168">
        <v>79</v>
      </c>
      <c r="M168">
        <v>3</v>
      </c>
      <c r="N168" s="5">
        <v>10815.37</v>
      </c>
      <c r="O168" t="s">
        <v>63</v>
      </c>
      <c r="P168" t="str">
        <f t="shared" si="5"/>
        <v>Hospital Central de Nampula</v>
      </c>
      <c r="Q168" t="s">
        <v>24</v>
      </c>
      <c r="R168">
        <v>4</v>
      </c>
    </row>
    <row r="169" spans="1:18" x14ac:dyDescent="0.45">
      <c r="A169" t="s">
        <v>254</v>
      </c>
      <c r="B169" s="3">
        <v>45457</v>
      </c>
      <c r="C169">
        <v>36</v>
      </c>
      <c r="D169" t="s">
        <v>20</v>
      </c>
      <c r="E169">
        <v>58.1</v>
      </c>
      <c r="F169">
        <v>165.9</v>
      </c>
      <c r="G169" s="4">
        <f t="shared" si="4"/>
        <v>21.109763138284208</v>
      </c>
      <c r="H169" t="s">
        <v>46</v>
      </c>
      <c r="I169" t="s">
        <v>94</v>
      </c>
      <c r="J169">
        <v>114</v>
      </c>
      <c r="K169">
        <v>62</v>
      </c>
      <c r="L169">
        <v>89</v>
      </c>
      <c r="M169">
        <v>3</v>
      </c>
      <c r="N169" s="5">
        <v>13105.44</v>
      </c>
      <c r="O169" t="s">
        <v>67</v>
      </c>
      <c r="P169" t="str">
        <f t="shared" si="5"/>
        <v>Hospital Provincial de Pemba</v>
      </c>
      <c r="Q169" t="s">
        <v>24</v>
      </c>
      <c r="R169">
        <v>5</v>
      </c>
    </row>
    <row r="170" spans="1:18" x14ac:dyDescent="0.45">
      <c r="A170" t="s">
        <v>255</v>
      </c>
      <c r="B170" s="3">
        <v>45509</v>
      </c>
      <c r="C170">
        <v>26</v>
      </c>
      <c r="D170" t="s">
        <v>27</v>
      </c>
      <c r="E170">
        <v>68.5</v>
      </c>
      <c r="F170">
        <v>149.1</v>
      </c>
      <c r="G170" s="4">
        <f t="shared" si="4"/>
        <v>30.81309228048821</v>
      </c>
      <c r="H170" t="s">
        <v>91</v>
      </c>
      <c r="I170" t="s">
        <v>92</v>
      </c>
      <c r="J170">
        <v>110</v>
      </c>
      <c r="K170">
        <v>68</v>
      </c>
      <c r="L170">
        <v>93</v>
      </c>
      <c r="M170">
        <v>1</v>
      </c>
      <c r="N170" s="5">
        <v>4885.8599999999997</v>
      </c>
      <c r="O170" t="s">
        <v>57</v>
      </c>
      <c r="P170" t="str">
        <f t="shared" si="5"/>
        <v>Hospital Provincial de Tete</v>
      </c>
      <c r="Q170" t="s">
        <v>24</v>
      </c>
      <c r="R170">
        <v>4</v>
      </c>
    </row>
    <row r="171" spans="1:18" x14ac:dyDescent="0.45">
      <c r="A171" t="s">
        <v>256</v>
      </c>
      <c r="B171" s="3">
        <v>45645</v>
      </c>
      <c r="C171">
        <v>18</v>
      </c>
      <c r="D171" t="s">
        <v>27</v>
      </c>
      <c r="E171">
        <v>68.2</v>
      </c>
      <c r="F171">
        <v>160.19999999999999</v>
      </c>
      <c r="G171" s="4">
        <f t="shared" si="4"/>
        <v>26.574148107624527</v>
      </c>
      <c r="H171" t="s">
        <v>21</v>
      </c>
      <c r="I171" t="s">
        <v>123</v>
      </c>
      <c r="J171">
        <v>109</v>
      </c>
      <c r="K171">
        <v>81</v>
      </c>
      <c r="L171">
        <v>65</v>
      </c>
      <c r="M171">
        <v>1</v>
      </c>
      <c r="N171" s="5">
        <v>4069.48</v>
      </c>
      <c r="O171" t="s">
        <v>51</v>
      </c>
      <c r="P171" t="str">
        <f t="shared" si="5"/>
        <v>Hospital Central de Quelimane</v>
      </c>
      <c r="Q171" t="s">
        <v>24</v>
      </c>
      <c r="R171">
        <v>4</v>
      </c>
    </row>
    <row r="172" spans="1:18" x14ac:dyDescent="0.45">
      <c r="A172" t="s">
        <v>257</v>
      </c>
      <c r="B172" s="3">
        <v>45244</v>
      </c>
      <c r="C172">
        <v>41</v>
      </c>
      <c r="D172" t="s">
        <v>27</v>
      </c>
      <c r="E172">
        <v>69.3</v>
      </c>
      <c r="F172">
        <v>160.4</v>
      </c>
      <c r="G172" s="4">
        <f t="shared" si="4"/>
        <v>26.935466819236193</v>
      </c>
      <c r="H172" t="s">
        <v>46</v>
      </c>
      <c r="I172" t="s">
        <v>47</v>
      </c>
      <c r="J172">
        <v>113</v>
      </c>
      <c r="K172">
        <v>68</v>
      </c>
      <c r="L172">
        <v>86</v>
      </c>
      <c r="M172">
        <v>4</v>
      </c>
      <c r="N172" s="5">
        <v>10798.58</v>
      </c>
      <c r="O172" t="s">
        <v>23</v>
      </c>
      <c r="P172" t="str">
        <f t="shared" si="5"/>
        <v>Hospital Central de Maputo</v>
      </c>
      <c r="Q172" t="s">
        <v>24</v>
      </c>
      <c r="R172">
        <v>1</v>
      </c>
    </row>
    <row r="173" spans="1:18" x14ac:dyDescent="0.45">
      <c r="A173" t="s">
        <v>258</v>
      </c>
      <c r="B173" s="3">
        <v>45435</v>
      </c>
      <c r="C173">
        <v>43</v>
      </c>
      <c r="D173" t="s">
        <v>27</v>
      </c>
      <c r="E173">
        <v>50.2</v>
      </c>
      <c r="F173">
        <v>148.9</v>
      </c>
      <c r="G173" s="4">
        <f t="shared" si="4"/>
        <v>22.641975787519041</v>
      </c>
      <c r="H173" t="s">
        <v>41</v>
      </c>
      <c r="I173" t="s">
        <v>113</v>
      </c>
      <c r="J173">
        <v>156</v>
      </c>
      <c r="K173">
        <v>103</v>
      </c>
      <c r="L173">
        <v>69</v>
      </c>
      <c r="M173">
        <v>1</v>
      </c>
      <c r="N173" s="5">
        <v>4608.3</v>
      </c>
      <c r="O173" t="s">
        <v>43</v>
      </c>
      <c r="P173" t="str">
        <f t="shared" si="5"/>
        <v>Hospital Central da Beira</v>
      </c>
      <c r="Q173" t="s">
        <v>24</v>
      </c>
      <c r="R173">
        <v>3</v>
      </c>
    </row>
    <row r="174" spans="1:18" x14ac:dyDescent="0.45">
      <c r="A174" t="s">
        <v>259</v>
      </c>
      <c r="B174" s="3">
        <v>45517</v>
      </c>
      <c r="C174">
        <v>32</v>
      </c>
      <c r="D174" t="s">
        <v>20</v>
      </c>
      <c r="E174">
        <v>57.8</v>
      </c>
      <c r="F174">
        <v>162.80000000000001</v>
      </c>
      <c r="G174" s="4">
        <f t="shared" si="4"/>
        <v>21.808160628799445</v>
      </c>
      <c r="H174" t="s">
        <v>41</v>
      </c>
      <c r="I174" t="s">
        <v>113</v>
      </c>
      <c r="J174">
        <v>144</v>
      </c>
      <c r="K174">
        <v>95</v>
      </c>
      <c r="L174">
        <v>103</v>
      </c>
      <c r="M174">
        <v>5</v>
      </c>
      <c r="N174" s="5">
        <v>9304.01</v>
      </c>
      <c r="O174" t="s">
        <v>23</v>
      </c>
      <c r="P174" t="str">
        <f t="shared" si="5"/>
        <v>Hospital Central de Maputo</v>
      </c>
      <c r="Q174" t="s">
        <v>37</v>
      </c>
      <c r="R174">
        <v>3</v>
      </c>
    </row>
    <row r="175" spans="1:18" x14ac:dyDescent="0.45">
      <c r="A175" t="s">
        <v>260</v>
      </c>
      <c r="B175" s="3">
        <v>45410</v>
      </c>
      <c r="C175">
        <v>61</v>
      </c>
      <c r="D175" t="s">
        <v>27</v>
      </c>
      <c r="E175">
        <v>38.9</v>
      </c>
      <c r="F175">
        <v>179.9</v>
      </c>
      <c r="G175" s="4">
        <f t="shared" si="4"/>
        <v>12.019524156617177</v>
      </c>
      <c r="H175" t="s">
        <v>91</v>
      </c>
      <c r="I175" t="s">
        <v>92</v>
      </c>
      <c r="J175">
        <v>115</v>
      </c>
      <c r="K175">
        <v>70</v>
      </c>
      <c r="L175">
        <v>73</v>
      </c>
      <c r="M175">
        <v>1</v>
      </c>
      <c r="N175" s="5">
        <v>4690.28</v>
      </c>
      <c r="O175" t="s">
        <v>38</v>
      </c>
      <c r="P175" t="str">
        <f t="shared" si="5"/>
        <v>Hospital Provincial de Xai-Xai</v>
      </c>
      <c r="Q175" t="s">
        <v>24</v>
      </c>
      <c r="R175">
        <v>4</v>
      </c>
    </row>
    <row r="176" spans="1:18" x14ac:dyDescent="0.45">
      <c r="A176" t="s">
        <v>261</v>
      </c>
      <c r="B176" s="3">
        <v>45441</v>
      </c>
      <c r="C176">
        <v>16</v>
      </c>
      <c r="D176" t="s">
        <v>20</v>
      </c>
      <c r="E176">
        <v>62.7</v>
      </c>
      <c r="F176">
        <v>166.3</v>
      </c>
      <c r="G176" s="4">
        <f t="shared" si="4"/>
        <v>22.671645509477436</v>
      </c>
      <c r="H176" t="s">
        <v>28</v>
      </c>
      <c r="I176" t="s">
        <v>29</v>
      </c>
      <c r="J176">
        <v>96</v>
      </c>
      <c r="K176">
        <v>60</v>
      </c>
      <c r="L176">
        <v>96</v>
      </c>
      <c r="M176">
        <v>3</v>
      </c>
      <c r="N176" s="5">
        <v>3977.07</v>
      </c>
      <c r="O176" t="s">
        <v>57</v>
      </c>
      <c r="P176" t="str">
        <f t="shared" si="5"/>
        <v>Hospital Provincial de Tete</v>
      </c>
      <c r="Q176" t="s">
        <v>24</v>
      </c>
      <c r="R176">
        <v>4</v>
      </c>
    </row>
    <row r="177" spans="1:18" x14ac:dyDescent="0.45">
      <c r="A177" t="s">
        <v>262</v>
      </c>
      <c r="B177" s="3">
        <v>45402</v>
      </c>
      <c r="C177">
        <v>25</v>
      </c>
      <c r="D177" t="s">
        <v>27</v>
      </c>
      <c r="E177">
        <v>63.7</v>
      </c>
      <c r="F177">
        <v>178.6</v>
      </c>
      <c r="G177" s="4">
        <f t="shared" si="4"/>
        <v>19.96992911145415</v>
      </c>
      <c r="H177" t="s">
        <v>55</v>
      </c>
      <c r="I177" t="s">
        <v>56</v>
      </c>
      <c r="J177">
        <v>108</v>
      </c>
      <c r="K177">
        <v>59</v>
      </c>
      <c r="L177">
        <v>91</v>
      </c>
      <c r="M177">
        <v>10</v>
      </c>
      <c r="N177" s="5">
        <v>13328.73</v>
      </c>
      <c r="O177" t="s">
        <v>57</v>
      </c>
      <c r="P177" t="str">
        <f t="shared" si="5"/>
        <v>Hospital Provincial de Tete</v>
      </c>
      <c r="Q177" t="s">
        <v>24</v>
      </c>
      <c r="R177">
        <v>1</v>
      </c>
    </row>
    <row r="178" spans="1:18" x14ac:dyDescent="0.45">
      <c r="A178" t="s">
        <v>263</v>
      </c>
      <c r="B178" s="3">
        <v>45270</v>
      </c>
      <c r="C178">
        <v>28</v>
      </c>
      <c r="D178" t="s">
        <v>20</v>
      </c>
      <c r="E178">
        <v>48.3</v>
      </c>
      <c r="F178">
        <v>171.5</v>
      </c>
      <c r="G178" s="4">
        <f t="shared" si="4"/>
        <v>16.421729041470815</v>
      </c>
      <c r="H178" t="s">
        <v>46</v>
      </c>
      <c r="I178" t="s">
        <v>66</v>
      </c>
      <c r="J178">
        <v>122</v>
      </c>
      <c r="K178">
        <v>80</v>
      </c>
      <c r="L178">
        <v>90</v>
      </c>
      <c r="M178">
        <v>1</v>
      </c>
      <c r="N178" s="5">
        <v>5999.13</v>
      </c>
      <c r="O178" t="s">
        <v>23</v>
      </c>
      <c r="P178" t="str">
        <f t="shared" si="5"/>
        <v>Hospital Central de Maputo</v>
      </c>
      <c r="Q178" t="s">
        <v>202</v>
      </c>
      <c r="R178">
        <v>5</v>
      </c>
    </row>
    <row r="179" spans="1:18" x14ac:dyDescent="0.45">
      <c r="A179" t="s">
        <v>264</v>
      </c>
      <c r="B179" s="3">
        <v>45459</v>
      </c>
      <c r="C179">
        <v>57</v>
      </c>
      <c r="D179" t="s">
        <v>27</v>
      </c>
      <c r="E179">
        <v>69.099999999999994</v>
      </c>
      <c r="F179">
        <v>148.6</v>
      </c>
      <c r="G179" s="4">
        <f t="shared" si="4"/>
        <v>31.292512077732226</v>
      </c>
      <c r="H179" t="s">
        <v>46</v>
      </c>
      <c r="I179" t="s">
        <v>108</v>
      </c>
      <c r="J179">
        <v>110</v>
      </c>
      <c r="K179">
        <v>64</v>
      </c>
      <c r="L179">
        <v>79</v>
      </c>
      <c r="M179">
        <v>3</v>
      </c>
      <c r="N179" s="5">
        <v>5783.33</v>
      </c>
      <c r="O179" t="s">
        <v>23</v>
      </c>
      <c r="P179" t="str">
        <f t="shared" si="5"/>
        <v>Hospital Central de Maputo</v>
      </c>
      <c r="Q179" t="s">
        <v>24</v>
      </c>
      <c r="R179">
        <v>5</v>
      </c>
    </row>
    <row r="180" spans="1:18" x14ac:dyDescent="0.45">
      <c r="A180" t="s">
        <v>265</v>
      </c>
      <c r="B180" s="3">
        <v>45329</v>
      </c>
      <c r="C180">
        <v>25</v>
      </c>
      <c r="D180" t="s">
        <v>27</v>
      </c>
      <c r="E180">
        <v>92.6</v>
      </c>
      <c r="F180">
        <v>165.2</v>
      </c>
      <c r="G180" s="4">
        <f t="shared" si="4"/>
        <v>33.930550099959554</v>
      </c>
      <c r="H180" t="s">
        <v>91</v>
      </c>
      <c r="I180" t="s">
        <v>116</v>
      </c>
      <c r="J180">
        <v>123</v>
      </c>
      <c r="K180">
        <v>84</v>
      </c>
      <c r="L180">
        <v>95</v>
      </c>
      <c r="M180">
        <v>2</v>
      </c>
      <c r="N180" s="5">
        <v>4218.84</v>
      </c>
      <c r="O180" t="s">
        <v>30</v>
      </c>
      <c r="P180" t="str">
        <f t="shared" si="5"/>
        <v>Hospital Provincial de Inhambane</v>
      </c>
      <c r="Q180" t="s">
        <v>24</v>
      </c>
      <c r="R180">
        <v>4</v>
      </c>
    </row>
    <row r="181" spans="1:18" x14ac:dyDescent="0.45">
      <c r="A181" t="s">
        <v>266</v>
      </c>
      <c r="B181" s="3">
        <v>45401</v>
      </c>
      <c r="C181">
        <v>29</v>
      </c>
      <c r="D181" t="s">
        <v>27</v>
      </c>
      <c r="E181">
        <v>79.3</v>
      </c>
      <c r="F181">
        <v>170.5</v>
      </c>
      <c r="G181" s="4">
        <f t="shared" si="4"/>
        <v>27.278747172796926</v>
      </c>
      <c r="H181" t="s">
        <v>99</v>
      </c>
      <c r="I181" t="s">
        <v>105</v>
      </c>
      <c r="J181">
        <v>120</v>
      </c>
      <c r="K181">
        <v>66</v>
      </c>
      <c r="L181">
        <v>122</v>
      </c>
      <c r="M181">
        <v>1</v>
      </c>
      <c r="N181" s="5">
        <v>2479.27</v>
      </c>
      <c r="O181" t="s">
        <v>30</v>
      </c>
      <c r="P181" t="str">
        <f t="shared" si="5"/>
        <v>Hospital Provincial de Inhambane</v>
      </c>
      <c r="Q181" t="s">
        <v>24</v>
      </c>
      <c r="R181">
        <v>4</v>
      </c>
    </row>
    <row r="182" spans="1:18" x14ac:dyDescent="0.45">
      <c r="A182" t="s">
        <v>267</v>
      </c>
      <c r="B182" s="3">
        <v>45193</v>
      </c>
      <c r="C182">
        <v>46</v>
      </c>
      <c r="D182" t="s">
        <v>20</v>
      </c>
      <c r="E182">
        <v>51.9</v>
      </c>
      <c r="F182">
        <v>170</v>
      </c>
      <c r="G182" s="4">
        <f t="shared" si="4"/>
        <v>17.958477508650521</v>
      </c>
      <c r="H182" t="s">
        <v>21</v>
      </c>
      <c r="I182" t="s">
        <v>89</v>
      </c>
      <c r="J182">
        <v>138</v>
      </c>
      <c r="K182">
        <v>84</v>
      </c>
      <c r="L182">
        <v>116</v>
      </c>
      <c r="M182">
        <v>1</v>
      </c>
      <c r="N182" s="5">
        <v>4062.82</v>
      </c>
      <c r="O182" t="s">
        <v>31</v>
      </c>
      <c r="P182" t="str">
        <f t="shared" si="5"/>
        <v>Hospital Provincial da Matola</v>
      </c>
      <c r="Q182" t="s">
        <v>24</v>
      </c>
      <c r="R182">
        <v>4</v>
      </c>
    </row>
    <row r="183" spans="1:18" x14ac:dyDescent="0.45">
      <c r="A183" t="s">
        <v>268</v>
      </c>
      <c r="B183" s="3">
        <v>45629</v>
      </c>
      <c r="C183">
        <v>56</v>
      </c>
      <c r="D183" t="s">
        <v>20</v>
      </c>
      <c r="E183">
        <v>61.7</v>
      </c>
      <c r="F183">
        <v>166.1</v>
      </c>
      <c r="G183" s="4">
        <f t="shared" si="4"/>
        <v>22.363815419143936</v>
      </c>
      <c r="H183" t="s">
        <v>55</v>
      </c>
      <c r="I183" t="s">
        <v>62</v>
      </c>
      <c r="J183">
        <v>130</v>
      </c>
      <c r="K183">
        <v>80</v>
      </c>
      <c r="L183">
        <v>71</v>
      </c>
      <c r="M183">
        <v>1</v>
      </c>
      <c r="N183" s="5">
        <v>7456.28</v>
      </c>
      <c r="O183" t="s">
        <v>23</v>
      </c>
      <c r="P183" t="str">
        <f t="shared" si="5"/>
        <v>Hospital Central de Maputo</v>
      </c>
      <c r="Q183" t="s">
        <v>202</v>
      </c>
      <c r="R183">
        <v>2</v>
      </c>
    </row>
    <row r="184" spans="1:18" x14ac:dyDescent="0.45">
      <c r="A184" t="s">
        <v>269</v>
      </c>
      <c r="B184" s="3">
        <v>45514</v>
      </c>
      <c r="C184">
        <v>15</v>
      </c>
      <c r="D184" t="s">
        <v>27</v>
      </c>
      <c r="E184">
        <v>64.3</v>
      </c>
      <c r="F184">
        <v>154.19999999999999</v>
      </c>
      <c r="G184" s="4">
        <f t="shared" si="4"/>
        <v>27.042212767961836</v>
      </c>
      <c r="H184" t="s">
        <v>99</v>
      </c>
      <c r="I184" t="s">
        <v>100</v>
      </c>
      <c r="J184">
        <v>95</v>
      </c>
      <c r="K184">
        <v>61</v>
      </c>
      <c r="L184">
        <v>99</v>
      </c>
      <c r="M184">
        <v>2</v>
      </c>
      <c r="N184" s="5">
        <v>4987.43</v>
      </c>
      <c r="O184" t="s">
        <v>57</v>
      </c>
      <c r="P184" t="str">
        <f t="shared" si="5"/>
        <v>Hospital Provincial de Tete</v>
      </c>
      <c r="Q184" t="s">
        <v>24</v>
      </c>
      <c r="R184">
        <v>4</v>
      </c>
    </row>
    <row r="185" spans="1:18" x14ac:dyDescent="0.45">
      <c r="A185" t="s">
        <v>270</v>
      </c>
      <c r="B185" s="3">
        <v>45490</v>
      </c>
      <c r="C185">
        <v>30</v>
      </c>
      <c r="D185" t="s">
        <v>27</v>
      </c>
      <c r="E185">
        <v>72.400000000000006</v>
      </c>
      <c r="F185">
        <v>156</v>
      </c>
      <c r="G185" s="4">
        <f t="shared" si="4"/>
        <v>29.750164365548979</v>
      </c>
      <c r="H185" t="s">
        <v>21</v>
      </c>
      <c r="I185" t="s">
        <v>123</v>
      </c>
      <c r="J185">
        <v>98</v>
      </c>
      <c r="K185">
        <v>55</v>
      </c>
      <c r="L185">
        <v>89</v>
      </c>
      <c r="M185">
        <v>3</v>
      </c>
      <c r="N185" s="5">
        <v>4620.5</v>
      </c>
      <c r="O185" t="s">
        <v>51</v>
      </c>
      <c r="P185" t="str">
        <f t="shared" si="5"/>
        <v>Hospital Central de Quelimane</v>
      </c>
      <c r="Q185" t="s">
        <v>24</v>
      </c>
      <c r="R185">
        <v>5</v>
      </c>
    </row>
    <row r="186" spans="1:18" x14ac:dyDescent="0.45">
      <c r="A186" t="s">
        <v>271</v>
      </c>
      <c r="B186" s="3">
        <v>45279</v>
      </c>
      <c r="C186">
        <v>92</v>
      </c>
      <c r="D186" t="s">
        <v>27</v>
      </c>
      <c r="E186">
        <v>66.599999999999994</v>
      </c>
      <c r="F186">
        <v>175</v>
      </c>
      <c r="G186" s="4">
        <f t="shared" si="4"/>
        <v>21.746938775510202</v>
      </c>
      <c r="H186" t="s">
        <v>91</v>
      </c>
      <c r="I186" t="s">
        <v>110</v>
      </c>
      <c r="J186">
        <v>158</v>
      </c>
      <c r="K186">
        <v>99</v>
      </c>
      <c r="L186">
        <v>88</v>
      </c>
      <c r="M186">
        <v>2</v>
      </c>
      <c r="N186" s="5">
        <v>5854.56</v>
      </c>
      <c r="O186" t="s">
        <v>31</v>
      </c>
      <c r="P186" t="str">
        <f t="shared" si="5"/>
        <v>Hospital Provincial da Matola</v>
      </c>
      <c r="Q186" t="s">
        <v>24</v>
      </c>
      <c r="R186">
        <v>3</v>
      </c>
    </row>
    <row r="187" spans="1:18" x14ac:dyDescent="0.45">
      <c r="A187" t="s">
        <v>272</v>
      </c>
      <c r="B187" s="3">
        <v>45173</v>
      </c>
      <c r="C187">
        <v>68</v>
      </c>
      <c r="D187" t="s">
        <v>27</v>
      </c>
      <c r="E187">
        <v>35</v>
      </c>
      <c r="F187">
        <v>164.9</v>
      </c>
      <c r="G187" s="4">
        <f t="shared" si="4"/>
        <v>12.871428040810518</v>
      </c>
      <c r="H187" t="s">
        <v>55</v>
      </c>
      <c r="I187" t="s">
        <v>80</v>
      </c>
      <c r="J187">
        <v>96</v>
      </c>
      <c r="K187">
        <v>55</v>
      </c>
      <c r="L187">
        <v>65</v>
      </c>
      <c r="M187">
        <v>19</v>
      </c>
      <c r="N187" s="5">
        <v>27524.52</v>
      </c>
      <c r="O187" t="s">
        <v>30</v>
      </c>
      <c r="P187" t="str">
        <f t="shared" si="5"/>
        <v>Hospital Provincial de Inhambane</v>
      </c>
      <c r="Q187" t="s">
        <v>24</v>
      </c>
      <c r="R187">
        <v>4</v>
      </c>
    </row>
    <row r="188" spans="1:18" x14ac:dyDescent="0.45">
      <c r="A188" t="s">
        <v>273</v>
      </c>
      <c r="B188" s="3">
        <v>45532</v>
      </c>
      <c r="C188">
        <v>63</v>
      </c>
      <c r="D188" t="s">
        <v>20</v>
      </c>
      <c r="E188">
        <v>59</v>
      </c>
      <c r="F188">
        <v>174</v>
      </c>
      <c r="G188" s="4">
        <f t="shared" si="4"/>
        <v>19.487382745408905</v>
      </c>
      <c r="H188" t="s">
        <v>46</v>
      </c>
      <c r="I188" t="s">
        <v>108</v>
      </c>
      <c r="J188">
        <v>118</v>
      </c>
      <c r="K188">
        <v>71</v>
      </c>
      <c r="L188">
        <v>129</v>
      </c>
      <c r="M188">
        <v>2</v>
      </c>
      <c r="N188" s="5">
        <v>5342</v>
      </c>
      <c r="O188" t="s">
        <v>23</v>
      </c>
      <c r="P188" t="str">
        <f t="shared" si="5"/>
        <v>Hospital Central de Maputo</v>
      </c>
      <c r="Q188" t="s">
        <v>24</v>
      </c>
      <c r="R188">
        <v>3</v>
      </c>
    </row>
    <row r="189" spans="1:18" x14ac:dyDescent="0.45">
      <c r="A189" t="s">
        <v>274</v>
      </c>
      <c r="B189" s="3">
        <v>45466</v>
      </c>
      <c r="C189">
        <v>35</v>
      </c>
      <c r="D189" t="s">
        <v>27</v>
      </c>
      <c r="E189">
        <v>53.7</v>
      </c>
      <c r="F189">
        <v>165.9</v>
      </c>
      <c r="G189" s="4">
        <f t="shared" si="4"/>
        <v>19.51108916567749</v>
      </c>
      <c r="H189" t="s">
        <v>21</v>
      </c>
      <c r="I189" t="s">
        <v>70</v>
      </c>
      <c r="J189">
        <v>123</v>
      </c>
      <c r="K189">
        <v>85</v>
      </c>
      <c r="L189">
        <v>103</v>
      </c>
      <c r="M189">
        <v>1</v>
      </c>
      <c r="N189" s="5">
        <v>3559.92</v>
      </c>
      <c r="O189" t="s">
        <v>23</v>
      </c>
      <c r="P189" t="str">
        <f t="shared" si="5"/>
        <v>Hospital Central de Maputo</v>
      </c>
      <c r="Q189" t="s">
        <v>24</v>
      </c>
      <c r="R189">
        <v>4</v>
      </c>
    </row>
    <row r="190" spans="1:18" x14ac:dyDescent="0.45">
      <c r="A190" t="s">
        <v>275</v>
      </c>
      <c r="B190" s="3">
        <v>45001</v>
      </c>
      <c r="C190">
        <v>33</v>
      </c>
      <c r="D190" t="s">
        <v>27</v>
      </c>
      <c r="E190">
        <v>58.4</v>
      </c>
      <c r="F190">
        <v>156</v>
      </c>
      <c r="G190" s="4">
        <f t="shared" si="4"/>
        <v>23.997370151216302</v>
      </c>
      <c r="H190" t="s">
        <v>46</v>
      </c>
      <c r="I190" t="s">
        <v>66</v>
      </c>
      <c r="J190">
        <v>98</v>
      </c>
      <c r="K190">
        <v>75</v>
      </c>
      <c r="L190">
        <v>87</v>
      </c>
      <c r="M190">
        <v>4</v>
      </c>
      <c r="N190" s="5">
        <v>9665.82</v>
      </c>
      <c r="O190" t="s">
        <v>51</v>
      </c>
      <c r="P190" t="str">
        <f t="shared" si="5"/>
        <v>Hospital Central de Quelimane</v>
      </c>
      <c r="Q190" t="s">
        <v>24</v>
      </c>
      <c r="R190">
        <v>5</v>
      </c>
    </row>
    <row r="191" spans="1:18" x14ac:dyDescent="0.45">
      <c r="A191" t="s">
        <v>276</v>
      </c>
      <c r="B191" s="3">
        <v>45555</v>
      </c>
      <c r="C191">
        <v>5</v>
      </c>
      <c r="D191" t="s">
        <v>27</v>
      </c>
      <c r="E191">
        <v>18.7</v>
      </c>
      <c r="F191">
        <v>79.400000000000006</v>
      </c>
      <c r="G191" s="4">
        <f t="shared" si="4"/>
        <v>29.662011687149839</v>
      </c>
      <c r="H191" t="s">
        <v>28</v>
      </c>
      <c r="I191" t="s">
        <v>73</v>
      </c>
      <c r="J191">
        <v>119</v>
      </c>
      <c r="K191">
        <v>80</v>
      </c>
      <c r="L191">
        <v>107</v>
      </c>
      <c r="M191">
        <v>11</v>
      </c>
      <c r="N191" s="5">
        <v>35716.03</v>
      </c>
      <c r="O191" t="s">
        <v>36</v>
      </c>
      <c r="P191" t="str">
        <f t="shared" si="5"/>
        <v>Hospital Provincial de Lichinga</v>
      </c>
      <c r="Q191" t="s">
        <v>76</v>
      </c>
      <c r="R191">
        <v>2</v>
      </c>
    </row>
    <row r="192" spans="1:18" x14ac:dyDescent="0.45">
      <c r="A192" t="s">
        <v>277</v>
      </c>
      <c r="B192" s="3">
        <v>45543</v>
      </c>
      <c r="C192">
        <v>49</v>
      </c>
      <c r="D192" t="s">
        <v>27</v>
      </c>
      <c r="E192">
        <v>70.099999999999994</v>
      </c>
      <c r="F192">
        <v>161.69999999999999</v>
      </c>
      <c r="G192" s="4">
        <f t="shared" si="4"/>
        <v>26.810071867055701</v>
      </c>
      <c r="H192" t="s">
        <v>34</v>
      </c>
      <c r="I192" t="s">
        <v>128</v>
      </c>
      <c r="J192">
        <v>117</v>
      </c>
      <c r="K192">
        <v>72</v>
      </c>
      <c r="L192">
        <v>77</v>
      </c>
      <c r="M192">
        <v>16</v>
      </c>
      <c r="N192" s="5">
        <v>23922.75</v>
      </c>
      <c r="O192" t="s">
        <v>23</v>
      </c>
      <c r="P192" t="str">
        <f t="shared" si="5"/>
        <v>Hospital Central de Maputo</v>
      </c>
      <c r="Q192" t="s">
        <v>24</v>
      </c>
      <c r="R192">
        <v>4</v>
      </c>
    </row>
    <row r="193" spans="1:18" x14ac:dyDescent="0.45">
      <c r="A193" t="s">
        <v>278</v>
      </c>
      <c r="B193" s="3">
        <v>45270</v>
      </c>
      <c r="C193">
        <v>44</v>
      </c>
      <c r="D193" t="s">
        <v>27</v>
      </c>
      <c r="E193">
        <v>63.8</v>
      </c>
      <c r="F193">
        <v>176.4</v>
      </c>
      <c r="G193" s="4">
        <f t="shared" si="4"/>
        <v>20.503288238953932</v>
      </c>
      <c r="H193" t="s">
        <v>21</v>
      </c>
      <c r="I193" t="s">
        <v>123</v>
      </c>
      <c r="J193">
        <v>123</v>
      </c>
      <c r="K193">
        <v>82</v>
      </c>
      <c r="L193">
        <v>90</v>
      </c>
      <c r="M193">
        <v>5</v>
      </c>
      <c r="N193" s="5">
        <v>18986.78</v>
      </c>
      <c r="O193" t="s">
        <v>52</v>
      </c>
      <c r="P193" t="str">
        <f t="shared" si="5"/>
        <v>Hospital Provincial de Chimoio</v>
      </c>
      <c r="Q193" t="s">
        <v>24</v>
      </c>
      <c r="R193">
        <v>4</v>
      </c>
    </row>
    <row r="194" spans="1:18" x14ac:dyDescent="0.45">
      <c r="A194" t="s">
        <v>279</v>
      </c>
      <c r="B194" s="3">
        <v>45030</v>
      </c>
      <c r="C194">
        <v>18</v>
      </c>
      <c r="D194" t="s">
        <v>27</v>
      </c>
      <c r="E194">
        <v>66.400000000000006</v>
      </c>
      <c r="F194">
        <v>155.9</v>
      </c>
      <c r="G194" s="4">
        <f t="shared" ref="G194:G257" si="6">E194/((F194/100)^2)</f>
        <v>27.319695154991951</v>
      </c>
      <c r="H194" t="s">
        <v>46</v>
      </c>
      <c r="I194" t="s">
        <v>94</v>
      </c>
      <c r="J194">
        <v>111</v>
      </c>
      <c r="K194">
        <v>71</v>
      </c>
      <c r="L194">
        <v>75</v>
      </c>
      <c r="M194">
        <v>1</v>
      </c>
      <c r="N194" s="5">
        <v>3918.84</v>
      </c>
      <c r="O194" t="s">
        <v>31</v>
      </c>
      <c r="P194" t="str">
        <f t="shared" ref="P194:P257" si="7">INDEX($U$2:$U$12,MATCH(O194,$T$2:$T$12,0))</f>
        <v>Hospital Provincial da Matola</v>
      </c>
      <c r="Q194" t="s">
        <v>24</v>
      </c>
      <c r="R194">
        <v>5</v>
      </c>
    </row>
    <row r="195" spans="1:18" x14ac:dyDescent="0.45">
      <c r="A195" t="s">
        <v>280</v>
      </c>
      <c r="B195" s="3">
        <v>45487</v>
      </c>
      <c r="C195">
        <v>73</v>
      </c>
      <c r="D195" t="s">
        <v>20</v>
      </c>
      <c r="E195">
        <v>48.1</v>
      </c>
      <c r="F195">
        <v>161.19999999999999</v>
      </c>
      <c r="G195" s="4">
        <f t="shared" si="6"/>
        <v>18.510365804850721</v>
      </c>
      <c r="H195" t="s">
        <v>91</v>
      </c>
      <c r="I195" t="s">
        <v>92</v>
      </c>
      <c r="J195">
        <v>136</v>
      </c>
      <c r="K195">
        <v>79</v>
      </c>
      <c r="L195">
        <v>81</v>
      </c>
      <c r="M195">
        <v>1</v>
      </c>
      <c r="N195" s="5">
        <v>5282.15</v>
      </c>
      <c r="O195" t="s">
        <v>43</v>
      </c>
      <c r="P195" t="str">
        <f t="shared" si="7"/>
        <v>Hospital Central da Beira</v>
      </c>
      <c r="Q195" t="s">
        <v>24</v>
      </c>
      <c r="R195">
        <v>5</v>
      </c>
    </row>
    <row r="196" spans="1:18" x14ac:dyDescent="0.45">
      <c r="A196" t="s">
        <v>281</v>
      </c>
      <c r="B196" s="3">
        <v>45480</v>
      </c>
      <c r="C196">
        <v>35</v>
      </c>
      <c r="D196" t="s">
        <v>27</v>
      </c>
      <c r="E196">
        <v>43.3</v>
      </c>
      <c r="F196">
        <v>166.9</v>
      </c>
      <c r="G196" s="4">
        <f t="shared" si="6"/>
        <v>15.544445086645023</v>
      </c>
      <c r="H196" t="s">
        <v>46</v>
      </c>
      <c r="I196" t="s">
        <v>66</v>
      </c>
      <c r="J196">
        <v>103</v>
      </c>
      <c r="K196">
        <v>67</v>
      </c>
      <c r="L196">
        <v>103</v>
      </c>
      <c r="M196">
        <v>2</v>
      </c>
      <c r="N196" s="5">
        <v>5807.19</v>
      </c>
      <c r="O196" t="s">
        <v>57</v>
      </c>
      <c r="P196" t="str">
        <f t="shared" si="7"/>
        <v>Hospital Provincial de Tete</v>
      </c>
      <c r="Q196" t="s">
        <v>24</v>
      </c>
      <c r="R196">
        <v>1</v>
      </c>
    </row>
    <row r="197" spans="1:18" x14ac:dyDescent="0.45">
      <c r="A197" t="s">
        <v>282</v>
      </c>
      <c r="B197" s="3">
        <v>45101</v>
      </c>
      <c r="C197">
        <v>29</v>
      </c>
      <c r="D197" t="s">
        <v>27</v>
      </c>
      <c r="E197">
        <v>39</v>
      </c>
      <c r="F197">
        <v>163.69999999999999</v>
      </c>
      <c r="G197" s="4">
        <f t="shared" si="6"/>
        <v>14.553493230200068</v>
      </c>
      <c r="H197" t="s">
        <v>34</v>
      </c>
      <c r="I197" t="s">
        <v>35</v>
      </c>
      <c r="J197">
        <v>116</v>
      </c>
      <c r="K197">
        <v>71</v>
      </c>
      <c r="L197">
        <v>114</v>
      </c>
      <c r="M197">
        <v>1</v>
      </c>
      <c r="N197" s="5">
        <v>3535.83</v>
      </c>
      <c r="O197" t="s">
        <v>31</v>
      </c>
      <c r="P197" t="str">
        <f t="shared" si="7"/>
        <v>Hospital Provincial da Matola</v>
      </c>
      <c r="Q197" t="s">
        <v>24</v>
      </c>
      <c r="R197">
        <v>4</v>
      </c>
    </row>
    <row r="198" spans="1:18" x14ac:dyDescent="0.45">
      <c r="A198" t="s">
        <v>283</v>
      </c>
      <c r="B198" s="3">
        <v>45196</v>
      </c>
      <c r="C198">
        <v>22</v>
      </c>
      <c r="D198" t="s">
        <v>27</v>
      </c>
      <c r="E198">
        <v>73.5</v>
      </c>
      <c r="F198">
        <v>161</v>
      </c>
      <c r="G198" s="4">
        <f t="shared" si="6"/>
        <v>28.355387523629485</v>
      </c>
      <c r="H198" t="s">
        <v>99</v>
      </c>
      <c r="I198" t="s">
        <v>105</v>
      </c>
      <c r="J198">
        <v>114</v>
      </c>
      <c r="K198">
        <v>55</v>
      </c>
      <c r="L198">
        <v>75</v>
      </c>
      <c r="M198">
        <v>3</v>
      </c>
      <c r="N198" s="5">
        <v>9726.32</v>
      </c>
      <c r="O198" t="s">
        <v>63</v>
      </c>
      <c r="P198" t="str">
        <f t="shared" si="7"/>
        <v>Hospital Central de Nampula</v>
      </c>
      <c r="Q198" t="s">
        <v>24</v>
      </c>
      <c r="R198">
        <v>4</v>
      </c>
    </row>
    <row r="199" spans="1:18" x14ac:dyDescent="0.45">
      <c r="A199" t="s">
        <v>284</v>
      </c>
      <c r="B199" s="3">
        <v>45413</v>
      </c>
      <c r="C199">
        <v>70</v>
      </c>
      <c r="D199" t="s">
        <v>20</v>
      </c>
      <c r="E199">
        <v>38.200000000000003</v>
      </c>
      <c r="F199">
        <v>172.2</v>
      </c>
      <c r="G199" s="4">
        <f t="shared" si="6"/>
        <v>12.882408565250412</v>
      </c>
      <c r="H199" t="s">
        <v>41</v>
      </c>
      <c r="I199" t="s">
        <v>217</v>
      </c>
      <c r="J199">
        <v>127</v>
      </c>
      <c r="K199">
        <v>81</v>
      </c>
      <c r="L199">
        <v>67</v>
      </c>
      <c r="M199">
        <v>3</v>
      </c>
      <c r="N199" s="5">
        <v>6477.23</v>
      </c>
      <c r="O199" t="s">
        <v>31</v>
      </c>
      <c r="P199" t="str">
        <f t="shared" si="7"/>
        <v>Hospital Provincial da Matola</v>
      </c>
      <c r="Q199" t="s">
        <v>76</v>
      </c>
      <c r="R199">
        <v>5</v>
      </c>
    </row>
    <row r="200" spans="1:18" x14ac:dyDescent="0.45">
      <c r="A200" t="s">
        <v>285</v>
      </c>
      <c r="B200" s="3">
        <v>45124</v>
      </c>
      <c r="C200">
        <v>60</v>
      </c>
      <c r="D200" t="s">
        <v>20</v>
      </c>
      <c r="E200">
        <v>80.900000000000006</v>
      </c>
      <c r="F200">
        <v>169.5</v>
      </c>
      <c r="G200" s="4">
        <f t="shared" si="6"/>
        <v>28.158474082195596</v>
      </c>
      <c r="H200" t="s">
        <v>21</v>
      </c>
      <c r="I200" t="s">
        <v>70</v>
      </c>
      <c r="J200">
        <v>123</v>
      </c>
      <c r="K200">
        <v>78</v>
      </c>
      <c r="L200">
        <v>89</v>
      </c>
      <c r="M200">
        <v>9</v>
      </c>
      <c r="N200" s="5">
        <v>27831.14</v>
      </c>
      <c r="O200" t="s">
        <v>30</v>
      </c>
      <c r="P200" t="str">
        <f t="shared" si="7"/>
        <v>Hospital Provincial de Inhambane</v>
      </c>
      <c r="Q200" t="s">
        <v>24</v>
      </c>
      <c r="R200">
        <v>4</v>
      </c>
    </row>
    <row r="201" spans="1:18" x14ac:dyDescent="0.45">
      <c r="A201" t="s">
        <v>286</v>
      </c>
      <c r="B201" s="3">
        <v>45209</v>
      </c>
      <c r="C201">
        <v>64</v>
      </c>
      <c r="D201" t="s">
        <v>27</v>
      </c>
      <c r="E201">
        <v>69.2</v>
      </c>
      <c r="F201">
        <v>164.1</v>
      </c>
      <c r="G201" s="4">
        <f t="shared" si="6"/>
        <v>25.69738506825961</v>
      </c>
      <c r="H201" t="s">
        <v>34</v>
      </c>
      <c r="I201" t="s">
        <v>35</v>
      </c>
      <c r="J201">
        <v>130</v>
      </c>
      <c r="K201">
        <v>73</v>
      </c>
      <c r="L201">
        <v>82</v>
      </c>
      <c r="M201">
        <v>13</v>
      </c>
      <c r="N201" s="5">
        <v>15623.57</v>
      </c>
      <c r="O201" t="s">
        <v>63</v>
      </c>
      <c r="P201" t="str">
        <f t="shared" si="7"/>
        <v>Hospital Central de Nampula</v>
      </c>
      <c r="Q201" t="s">
        <v>37</v>
      </c>
      <c r="R201">
        <v>5</v>
      </c>
    </row>
    <row r="202" spans="1:18" x14ac:dyDescent="0.45">
      <c r="A202" t="s">
        <v>287</v>
      </c>
      <c r="B202" s="3">
        <v>45279</v>
      </c>
      <c r="C202">
        <v>15</v>
      </c>
      <c r="D202" t="s">
        <v>27</v>
      </c>
      <c r="E202">
        <v>66.2</v>
      </c>
      <c r="F202">
        <v>170</v>
      </c>
      <c r="G202" s="4">
        <f t="shared" si="6"/>
        <v>22.906574394463671</v>
      </c>
      <c r="H202" t="s">
        <v>28</v>
      </c>
      <c r="I202" t="s">
        <v>73</v>
      </c>
      <c r="J202">
        <v>116</v>
      </c>
      <c r="K202">
        <v>78</v>
      </c>
      <c r="L202">
        <v>85</v>
      </c>
      <c r="M202">
        <v>8</v>
      </c>
      <c r="N202" s="5">
        <v>14635.99</v>
      </c>
      <c r="O202" t="s">
        <v>51</v>
      </c>
      <c r="P202" t="str">
        <f t="shared" si="7"/>
        <v>Hospital Central de Quelimane</v>
      </c>
      <c r="Q202" t="s">
        <v>202</v>
      </c>
      <c r="R202">
        <v>5</v>
      </c>
    </row>
    <row r="203" spans="1:18" x14ac:dyDescent="0.45">
      <c r="A203" t="s">
        <v>288</v>
      </c>
      <c r="B203" s="3">
        <v>44947</v>
      </c>
      <c r="C203">
        <v>24</v>
      </c>
      <c r="D203" t="s">
        <v>27</v>
      </c>
      <c r="E203">
        <v>85.4</v>
      </c>
      <c r="F203">
        <v>156.5</v>
      </c>
      <c r="G203" s="4">
        <f t="shared" si="6"/>
        <v>34.868172585205528</v>
      </c>
      <c r="H203" t="s">
        <v>99</v>
      </c>
      <c r="I203" t="s">
        <v>151</v>
      </c>
      <c r="J203">
        <v>121</v>
      </c>
      <c r="K203">
        <v>67</v>
      </c>
      <c r="L203">
        <v>101</v>
      </c>
      <c r="M203">
        <v>1</v>
      </c>
      <c r="N203" s="5">
        <v>5610.06</v>
      </c>
      <c r="O203" t="s">
        <v>30</v>
      </c>
      <c r="P203" t="str">
        <f t="shared" si="7"/>
        <v>Hospital Provincial de Inhambane</v>
      </c>
      <c r="Q203" t="s">
        <v>24</v>
      </c>
      <c r="R203">
        <v>4</v>
      </c>
    </row>
    <row r="204" spans="1:18" x14ac:dyDescent="0.45">
      <c r="A204" t="s">
        <v>289</v>
      </c>
      <c r="B204" s="3">
        <v>45018</v>
      </c>
      <c r="C204">
        <v>35</v>
      </c>
      <c r="D204" t="s">
        <v>20</v>
      </c>
      <c r="E204">
        <v>43.8</v>
      </c>
      <c r="F204">
        <v>162.1</v>
      </c>
      <c r="G204" s="4">
        <f t="shared" si="6"/>
        <v>16.668943740792596</v>
      </c>
      <c r="H204" t="s">
        <v>41</v>
      </c>
      <c r="I204" t="s">
        <v>161</v>
      </c>
      <c r="J204">
        <v>128</v>
      </c>
      <c r="K204">
        <v>71</v>
      </c>
      <c r="L204">
        <v>78</v>
      </c>
      <c r="M204">
        <v>1</v>
      </c>
      <c r="N204" s="5">
        <v>3086.14</v>
      </c>
      <c r="O204" t="s">
        <v>63</v>
      </c>
      <c r="P204" t="str">
        <f t="shared" si="7"/>
        <v>Hospital Central de Nampula</v>
      </c>
      <c r="Q204" t="s">
        <v>37</v>
      </c>
      <c r="R204">
        <v>1</v>
      </c>
    </row>
    <row r="205" spans="1:18" x14ac:dyDescent="0.45">
      <c r="A205" t="s">
        <v>290</v>
      </c>
      <c r="B205" s="3">
        <v>45124</v>
      </c>
      <c r="C205">
        <v>26</v>
      </c>
      <c r="D205" t="s">
        <v>27</v>
      </c>
      <c r="E205">
        <v>64.8</v>
      </c>
      <c r="F205">
        <v>165.8</v>
      </c>
      <c r="G205" s="4">
        <f t="shared" si="6"/>
        <v>23.572516773591794</v>
      </c>
      <c r="H205" t="s">
        <v>99</v>
      </c>
      <c r="I205" t="s">
        <v>103</v>
      </c>
      <c r="J205">
        <v>105</v>
      </c>
      <c r="K205">
        <v>68</v>
      </c>
      <c r="L205">
        <v>74</v>
      </c>
      <c r="M205">
        <v>2</v>
      </c>
      <c r="N205" s="5">
        <v>8757.7800000000007</v>
      </c>
      <c r="O205" t="s">
        <v>38</v>
      </c>
      <c r="P205" t="str">
        <f t="shared" si="7"/>
        <v>Hospital Provincial de Xai-Xai</v>
      </c>
      <c r="Q205" t="s">
        <v>24</v>
      </c>
      <c r="R205">
        <v>4</v>
      </c>
    </row>
    <row r="206" spans="1:18" x14ac:dyDescent="0.45">
      <c r="A206" t="s">
        <v>291</v>
      </c>
      <c r="B206" s="3">
        <v>45412</v>
      </c>
      <c r="C206">
        <v>51</v>
      </c>
      <c r="D206" t="s">
        <v>27</v>
      </c>
      <c r="E206">
        <v>45.7</v>
      </c>
      <c r="F206">
        <v>162.9</v>
      </c>
      <c r="G206" s="4">
        <f t="shared" si="6"/>
        <v>17.221621161264846</v>
      </c>
      <c r="H206" t="s">
        <v>91</v>
      </c>
      <c r="I206" t="s">
        <v>116</v>
      </c>
      <c r="J206">
        <v>117</v>
      </c>
      <c r="K206">
        <v>78</v>
      </c>
      <c r="L206">
        <v>103</v>
      </c>
      <c r="M206">
        <v>13</v>
      </c>
      <c r="N206" s="5">
        <v>39934.5</v>
      </c>
      <c r="O206" t="s">
        <v>51</v>
      </c>
      <c r="P206" t="str">
        <f t="shared" si="7"/>
        <v>Hospital Central de Quelimane</v>
      </c>
      <c r="Q206" t="s">
        <v>24</v>
      </c>
      <c r="R206">
        <v>4</v>
      </c>
    </row>
    <row r="207" spans="1:18" x14ac:dyDescent="0.45">
      <c r="A207" t="s">
        <v>292</v>
      </c>
      <c r="B207" s="3">
        <v>44947</v>
      </c>
      <c r="C207">
        <v>56</v>
      </c>
      <c r="D207" t="s">
        <v>20</v>
      </c>
      <c r="E207">
        <v>51</v>
      </c>
      <c r="F207">
        <v>155.69999999999999</v>
      </c>
      <c r="G207" s="4">
        <f t="shared" si="6"/>
        <v>21.037442935936038</v>
      </c>
      <c r="H207" t="s">
        <v>41</v>
      </c>
      <c r="I207" t="s">
        <v>113</v>
      </c>
      <c r="J207">
        <v>156</v>
      </c>
      <c r="K207">
        <v>96</v>
      </c>
      <c r="L207">
        <v>96</v>
      </c>
      <c r="M207">
        <v>13</v>
      </c>
      <c r="N207" s="5">
        <v>32831.74</v>
      </c>
      <c r="O207" t="s">
        <v>30</v>
      </c>
      <c r="P207" t="str">
        <f t="shared" si="7"/>
        <v>Hospital Provincial de Inhambane</v>
      </c>
      <c r="Q207" t="s">
        <v>24</v>
      </c>
      <c r="R207">
        <v>3</v>
      </c>
    </row>
    <row r="208" spans="1:18" x14ac:dyDescent="0.45">
      <c r="A208" t="s">
        <v>293</v>
      </c>
      <c r="B208" s="3">
        <v>45404</v>
      </c>
      <c r="C208">
        <v>24</v>
      </c>
      <c r="D208" t="s">
        <v>27</v>
      </c>
      <c r="E208">
        <v>63.3</v>
      </c>
      <c r="F208">
        <v>162.1</v>
      </c>
      <c r="G208" s="4">
        <f t="shared" si="6"/>
        <v>24.090048830871492</v>
      </c>
      <c r="H208" t="s">
        <v>46</v>
      </c>
      <c r="I208" t="s">
        <v>66</v>
      </c>
      <c r="J208">
        <v>140</v>
      </c>
      <c r="K208">
        <v>86</v>
      </c>
      <c r="L208">
        <v>100</v>
      </c>
      <c r="M208">
        <v>3</v>
      </c>
      <c r="N208" s="5">
        <v>7372.15</v>
      </c>
      <c r="O208" t="s">
        <v>43</v>
      </c>
      <c r="P208" t="str">
        <f t="shared" si="7"/>
        <v>Hospital Central da Beira</v>
      </c>
      <c r="Q208" t="s">
        <v>24</v>
      </c>
      <c r="R208">
        <v>3</v>
      </c>
    </row>
    <row r="209" spans="1:18" x14ac:dyDescent="0.45">
      <c r="A209" t="s">
        <v>294</v>
      </c>
      <c r="B209" s="3">
        <v>45259</v>
      </c>
      <c r="C209">
        <v>9</v>
      </c>
      <c r="D209" t="s">
        <v>27</v>
      </c>
      <c r="E209">
        <v>34</v>
      </c>
      <c r="F209">
        <v>78.900000000000006</v>
      </c>
      <c r="G209" s="4">
        <f t="shared" si="6"/>
        <v>54.616631406811969</v>
      </c>
      <c r="H209" t="s">
        <v>28</v>
      </c>
      <c r="I209" t="s">
        <v>75</v>
      </c>
      <c r="J209">
        <v>120</v>
      </c>
      <c r="K209">
        <v>83</v>
      </c>
      <c r="L209">
        <v>67</v>
      </c>
      <c r="M209">
        <v>6</v>
      </c>
      <c r="N209" s="5">
        <v>16328.1</v>
      </c>
      <c r="O209" t="s">
        <v>51</v>
      </c>
      <c r="P209" t="str">
        <f t="shared" si="7"/>
        <v>Hospital Central de Quelimane</v>
      </c>
      <c r="Q209" t="s">
        <v>24</v>
      </c>
      <c r="R209">
        <v>4</v>
      </c>
    </row>
    <row r="210" spans="1:18" x14ac:dyDescent="0.45">
      <c r="A210" t="s">
        <v>295</v>
      </c>
      <c r="B210" s="3">
        <v>45229</v>
      </c>
      <c r="C210">
        <v>16</v>
      </c>
      <c r="D210" t="s">
        <v>27</v>
      </c>
      <c r="E210">
        <v>53.5</v>
      </c>
      <c r="F210">
        <v>171.3</v>
      </c>
      <c r="G210" s="4">
        <f t="shared" si="6"/>
        <v>18.232199154230432</v>
      </c>
      <c r="H210" t="s">
        <v>99</v>
      </c>
      <c r="I210" t="s">
        <v>103</v>
      </c>
      <c r="J210">
        <v>122</v>
      </c>
      <c r="K210">
        <v>72</v>
      </c>
      <c r="L210">
        <v>65</v>
      </c>
      <c r="M210">
        <v>2</v>
      </c>
      <c r="N210" s="5">
        <v>7838.41</v>
      </c>
      <c r="O210" t="s">
        <v>38</v>
      </c>
      <c r="P210" t="str">
        <f t="shared" si="7"/>
        <v>Hospital Provincial de Xai-Xai</v>
      </c>
      <c r="Q210" t="s">
        <v>24</v>
      </c>
      <c r="R210">
        <v>4</v>
      </c>
    </row>
    <row r="211" spans="1:18" x14ac:dyDescent="0.45">
      <c r="A211" t="s">
        <v>296</v>
      </c>
      <c r="B211" s="3">
        <v>45498</v>
      </c>
      <c r="C211">
        <v>18</v>
      </c>
      <c r="D211" t="s">
        <v>20</v>
      </c>
      <c r="E211">
        <v>88.3</v>
      </c>
      <c r="F211">
        <v>165.7</v>
      </c>
      <c r="G211" s="4">
        <f t="shared" si="6"/>
        <v>32.159973834965804</v>
      </c>
      <c r="H211" t="s">
        <v>91</v>
      </c>
      <c r="I211" t="s">
        <v>110</v>
      </c>
      <c r="J211">
        <v>98</v>
      </c>
      <c r="K211">
        <v>58</v>
      </c>
      <c r="L211">
        <v>77</v>
      </c>
      <c r="M211">
        <v>1</v>
      </c>
      <c r="N211" s="5">
        <v>4807.76</v>
      </c>
      <c r="O211" t="s">
        <v>63</v>
      </c>
      <c r="P211" t="str">
        <f t="shared" si="7"/>
        <v>Hospital Central de Nampula</v>
      </c>
      <c r="Q211" t="s">
        <v>24</v>
      </c>
      <c r="R211">
        <v>4</v>
      </c>
    </row>
    <row r="212" spans="1:18" x14ac:dyDescent="0.45">
      <c r="A212" t="s">
        <v>297</v>
      </c>
      <c r="B212" s="3">
        <v>45401</v>
      </c>
      <c r="C212">
        <v>53</v>
      </c>
      <c r="D212" t="s">
        <v>20</v>
      </c>
      <c r="E212">
        <v>56.2</v>
      </c>
      <c r="F212">
        <v>154.1</v>
      </c>
      <c r="G212" s="4">
        <f t="shared" si="6"/>
        <v>23.666336657428939</v>
      </c>
      <c r="H212" t="s">
        <v>41</v>
      </c>
      <c r="I212" t="s">
        <v>217</v>
      </c>
      <c r="J212">
        <v>122</v>
      </c>
      <c r="K212">
        <v>82</v>
      </c>
      <c r="L212">
        <v>109</v>
      </c>
      <c r="M212">
        <v>3</v>
      </c>
      <c r="N212" s="5">
        <v>8850.07</v>
      </c>
      <c r="O212" t="s">
        <v>31</v>
      </c>
      <c r="P212" t="str">
        <f t="shared" si="7"/>
        <v>Hospital Provincial da Matola</v>
      </c>
      <c r="Q212" t="s">
        <v>76</v>
      </c>
      <c r="R212">
        <v>4</v>
      </c>
    </row>
    <row r="213" spans="1:18" x14ac:dyDescent="0.45">
      <c r="A213" t="s">
        <v>298</v>
      </c>
      <c r="B213" s="3">
        <v>45510</v>
      </c>
      <c r="C213">
        <v>5</v>
      </c>
      <c r="D213" t="s">
        <v>27</v>
      </c>
      <c r="E213">
        <v>25.1</v>
      </c>
      <c r="F213">
        <v>71.2</v>
      </c>
      <c r="G213" s="4">
        <f t="shared" si="6"/>
        <v>49.512372175230396</v>
      </c>
      <c r="H213" t="s">
        <v>28</v>
      </c>
      <c r="I213" t="s">
        <v>29</v>
      </c>
      <c r="J213">
        <v>109</v>
      </c>
      <c r="K213">
        <v>75</v>
      </c>
      <c r="L213">
        <v>100</v>
      </c>
      <c r="M213">
        <v>5</v>
      </c>
      <c r="N213" s="5">
        <v>9408.8700000000008</v>
      </c>
      <c r="O213" t="s">
        <v>43</v>
      </c>
      <c r="P213" t="str">
        <f t="shared" si="7"/>
        <v>Hospital Central da Beira</v>
      </c>
      <c r="Q213" t="s">
        <v>24</v>
      </c>
      <c r="R213">
        <v>2</v>
      </c>
    </row>
    <row r="214" spans="1:18" x14ac:dyDescent="0.45">
      <c r="A214" t="s">
        <v>299</v>
      </c>
      <c r="B214" s="3">
        <v>45556</v>
      </c>
      <c r="C214">
        <v>38</v>
      </c>
      <c r="D214" t="s">
        <v>27</v>
      </c>
      <c r="E214">
        <v>69.900000000000006</v>
      </c>
      <c r="F214">
        <v>153.69999999999999</v>
      </c>
      <c r="G214" s="4">
        <f t="shared" si="6"/>
        <v>29.588942286323608</v>
      </c>
      <c r="H214" t="s">
        <v>46</v>
      </c>
      <c r="I214" t="s">
        <v>66</v>
      </c>
      <c r="J214">
        <v>130</v>
      </c>
      <c r="K214">
        <v>80</v>
      </c>
      <c r="L214">
        <v>84</v>
      </c>
      <c r="M214">
        <v>8</v>
      </c>
      <c r="N214" s="5">
        <v>23372.2</v>
      </c>
      <c r="O214" t="s">
        <v>23</v>
      </c>
      <c r="P214" t="str">
        <f t="shared" si="7"/>
        <v>Hospital Central de Maputo</v>
      </c>
      <c r="Q214" t="s">
        <v>24</v>
      </c>
      <c r="R214">
        <v>5</v>
      </c>
    </row>
    <row r="215" spans="1:18" x14ac:dyDescent="0.45">
      <c r="A215" t="s">
        <v>300</v>
      </c>
      <c r="B215" s="3">
        <v>45158</v>
      </c>
      <c r="C215">
        <v>18</v>
      </c>
      <c r="D215" t="s">
        <v>27</v>
      </c>
      <c r="E215">
        <v>74.7</v>
      </c>
      <c r="F215">
        <v>154.1</v>
      </c>
      <c r="G215" s="4">
        <f t="shared" si="6"/>
        <v>31.456856731493623</v>
      </c>
      <c r="H215" t="s">
        <v>91</v>
      </c>
      <c r="I215" t="s">
        <v>92</v>
      </c>
      <c r="J215">
        <v>118</v>
      </c>
      <c r="K215">
        <v>82</v>
      </c>
      <c r="L215">
        <v>83</v>
      </c>
      <c r="M215">
        <v>5</v>
      </c>
      <c r="N215" s="5">
        <v>13005.54</v>
      </c>
      <c r="O215" t="s">
        <v>63</v>
      </c>
      <c r="P215" t="str">
        <f t="shared" si="7"/>
        <v>Hospital Central de Nampula</v>
      </c>
      <c r="Q215" t="s">
        <v>76</v>
      </c>
      <c r="R215">
        <v>4</v>
      </c>
    </row>
    <row r="216" spans="1:18" x14ac:dyDescent="0.45">
      <c r="A216" t="s">
        <v>301</v>
      </c>
      <c r="B216" s="3">
        <v>45428</v>
      </c>
      <c r="C216">
        <v>51</v>
      </c>
      <c r="D216" t="s">
        <v>27</v>
      </c>
      <c r="E216">
        <v>55.4</v>
      </c>
      <c r="F216">
        <v>182.1</v>
      </c>
      <c r="G216" s="4">
        <f t="shared" si="6"/>
        <v>16.706669187745266</v>
      </c>
      <c r="H216" t="s">
        <v>46</v>
      </c>
      <c r="I216" t="s">
        <v>94</v>
      </c>
      <c r="J216">
        <v>113</v>
      </c>
      <c r="K216">
        <v>72</v>
      </c>
      <c r="L216">
        <v>89</v>
      </c>
      <c r="M216">
        <v>5</v>
      </c>
      <c r="N216" s="5">
        <v>12405.32</v>
      </c>
      <c r="O216" t="s">
        <v>30</v>
      </c>
      <c r="P216" t="str">
        <f t="shared" si="7"/>
        <v>Hospital Provincial de Inhambane</v>
      </c>
      <c r="Q216" t="s">
        <v>24</v>
      </c>
      <c r="R216">
        <v>2</v>
      </c>
    </row>
    <row r="217" spans="1:18" x14ac:dyDescent="0.45">
      <c r="A217" t="s">
        <v>302</v>
      </c>
      <c r="B217" s="3">
        <v>45582</v>
      </c>
      <c r="C217">
        <v>29</v>
      </c>
      <c r="D217" t="s">
        <v>27</v>
      </c>
      <c r="E217">
        <v>61.9</v>
      </c>
      <c r="F217">
        <v>160.69999999999999</v>
      </c>
      <c r="G217" s="4">
        <f t="shared" si="6"/>
        <v>23.96949562217879</v>
      </c>
      <c r="H217" t="s">
        <v>46</v>
      </c>
      <c r="I217" t="s">
        <v>47</v>
      </c>
      <c r="J217">
        <v>129</v>
      </c>
      <c r="K217">
        <v>87</v>
      </c>
      <c r="L217">
        <v>97</v>
      </c>
      <c r="M217">
        <v>2</v>
      </c>
      <c r="N217" s="5">
        <v>3752.03</v>
      </c>
      <c r="O217" t="s">
        <v>51</v>
      </c>
      <c r="P217" t="str">
        <f t="shared" si="7"/>
        <v>Hospital Central de Quelimane</v>
      </c>
      <c r="Q217" t="s">
        <v>24</v>
      </c>
      <c r="R217">
        <v>4</v>
      </c>
    </row>
    <row r="218" spans="1:18" x14ac:dyDescent="0.45">
      <c r="A218" t="s">
        <v>303</v>
      </c>
      <c r="B218" s="3">
        <v>44936</v>
      </c>
      <c r="C218">
        <v>40</v>
      </c>
      <c r="D218" t="s">
        <v>27</v>
      </c>
      <c r="E218">
        <v>55.9</v>
      </c>
      <c r="F218">
        <v>159.30000000000001</v>
      </c>
      <c r="G218" s="4">
        <f t="shared" si="6"/>
        <v>22.028263167995252</v>
      </c>
      <c r="H218" t="s">
        <v>41</v>
      </c>
      <c r="I218" t="s">
        <v>217</v>
      </c>
      <c r="J218">
        <v>110</v>
      </c>
      <c r="K218">
        <v>66</v>
      </c>
      <c r="L218">
        <v>94</v>
      </c>
      <c r="M218">
        <v>5</v>
      </c>
      <c r="N218" s="5">
        <v>6807.39</v>
      </c>
      <c r="O218" t="s">
        <v>23</v>
      </c>
      <c r="P218" t="str">
        <f t="shared" si="7"/>
        <v>Hospital Central de Maputo</v>
      </c>
      <c r="Q218" t="s">
        <v>24</v>
      </c>
      <c r="R218">
        <v>3</v>
      </c>
    </row>
    <row r="219" spans="1:18" x14ac:dyDescent="0.45">
      <c r="A219" t="s">
        <v>304</v>
      </c>
      <c r="B219" s="3">
        <v>45196</v>
      </c>
      <c r="C219">
        <v>31</v>
      </c>
      <c r="D219" t="s">
        <v>20</v>
      </c>
      <c r="E219">
        <v>67.3</v>
      </c>
      <c r="F219">
        <v>162.30000000000001</v>
      </c>
      <c r="G219" s="4">
        <f t="shared" si="6"/>
        <v>25.549242273252364</v>
      </c>
      <c r="H219" t="s">
        <v>91</v>
      </c>
      <c r="I219" t="s">
        <v>131</v>
      </c>
      <c r="J219">
        <v>104</v>
      </c>
      <c r="K219">
        <v>64</v>
      </c>
      <c r="L219">
        <v>103</v>
      </c>
      <c r="M219">
        <v>1</v>
      </c>
      <c r="N219" s="5">
        <v>5856.08</v>
      </c>
      <c r="O219" t="s">
        <v>63</v>
      </c>
      <c r="P219" t="str">
        <f t="shared" si="7"/>
        <v>Hospital Central de Nampula</v>
      </c>
      <c r="Q219" t="s">
        <v>24</v>
      </c>
      <c r="R219">
        <v>3</v>
      </c>
    </row>
    <row r="220" spans="1:18" x14ac:dyDescent="0.45">
      <c r="A220" t="s">
        <v>305</v>
      </c>
      <c r="B220" s="3">
        <v>45019</v>
      </c>
      <c r="C220">
        <v>31</v>
      </c>
      <c r="D220" t="s">
        <v>20</v>
      </c>
      <c r="E220">
        <v>54.3</v>
      </c>
      <c r="F220">
        <v>173.7</v>
      </c>
      <c r="G220" s="4">
        <f t="shared" si="6"/>
        <v>17.997003150967018</v>
      </c>
      <c r="H220" t="s">
        <v>46</v>
      </c>
      <c r="I220" t="s">
        <v>47</v>
      </c>
      <c r="J220">
        <v>85</v>
      </c>
      <c r="K220">
        <v>57</v>
      </c>
      <c r="L220">
        <v>88</v>
      </c>
      <c r="M220">
        <v>6</v>
      </c>
      <c r="N220" s="5">
        <v>20705.11</v>
      </c>
      <c r="O220" t="s">
        <v>30</v>
      </c>
      <c r="P220" t="str">
        <f t="shared" si="7"/>
        <v>Hospital Provincial de Inhambane</v>
      </c>
      <c r="Q220" t="s">
        <v>24</v>
      </c>
      <c r="R220">
        <v>4</v>
      </c>
    </row>
    <row r="221" spans="1:18" x14ac:dyDescent="0.45">
      <c r="A221" t="s">
        <v>306</v>
      </c>
      <c r="B221" s="3">
        <v>45045</v>
      </c>
      <c r="C221">
        <v>29</v>
      </c>
      <c r="D221" t="s">
        <v>27</v>
      </c>
      <c r="E221">
        <v>64.400000000000006</v>
      </c>
      <c r="F221">
        <v>167.9</v>
      </c>
      <c r="G221" s="4">
        <f t="shared" si="6"/>
        <v>22.844648233211224</v>
      </c>
      <c r="H221" t="s">
        <v>99</v>
      </c>
      <c r="I221" t="s">
        <v>105</v>
      </c>
      <c r="J221">
        <v>105</v>
      </c>
      <c r="K221">
        <v>60</v>
      </c>
      <c r="L221">
        <v>124</v>
      </c>
      <c r="M221">
        <v>1</v>
      </c>
      <c r="N221" s="5">
        <v>4341.18</v>
      </c>
      <c r="O221" t="s">
        <v>30</v>
      </c>
      <c r="P221" t="str">
        <f t="shared" si="7"/>
        <v>Hospital Provincial de Inhambane</v>
      </c>
      <c r="Q221" t="s">
        <v>24</v>
      </c>
      <c r="R221">
        <v>4</v>
      </c>
    </row>
    <row r="222" spans="1:18" x14ac:dyDescent="0.45">
      <c r="A222" t="s">
        <v>307</v>
      </c>
      <c r="B222" s="3">
        <v>45394</v>
      </c>
      <c r="C222">
        <v>14</v>
      </c>
      <c r="D222" t="s">
        <v>27</v>
      </c>
      <c r="E222">
        <v>47.5</v>
      </c>
      <c r="F222">
        <v>167</v>
      </c>
      <c r="G222" s="4">
        <f t="shared" si="6"/>
        <v>17.031804654164723</v>
      </c>
      <c r="H222" t="s">
        <v>99</v>
      </c>
      <c r="I222" t="s">
        <v>100</v>
      </c>
      <c r="J222">
        <v>107</v>
      </c>
      <c r="K222">
        <v>63</v>
      </c>
      <c r="L222">
        <v>85</v>
      </c>
      <c r="M222">
        <v>11</v>
      </c>
      <c r="N222" s="5">
        <v>15822.39</v>
      </c>
      <c r="O222" t="s">
        <v>57</v>
      </c>
      <c r="P222" t="str">
        <f t="shared" si="7"/>
        <v>Hospital Provincial de Tete</v>
      </c>
      <c r="Q222" t="s">
        <v>37</v>
      </c>
      <c r="R222">
        <v>4</v>
      </c>
    </row>
    <row r="223" spans="1:18" x14ac:dyDescent="0.45">
      <c r="A223" t="s">
        <v>308</v>
      </c>
      <c r="B223" s="3">
        <v>45112</v>
      </c>
      <c r="C223">
        <v>32</v>
      </c>
      <c r="D223" t="s">
        <v>27</v>
      </c>
      <c r="E223">
        <v>45.2</v>
      </c>
      <c r="F223">
        <v>175</v>
      </c>
      <c r="G223" s="4">
        <f t="shared" si="6"/>
        <v>14.759183673469389</v>
      </c>
      <c r="H223" t="s">
        <v>46</v>
      </c>
      <c r="I223" t="s">
        <v>47</v>
      </c>
      <c r="J223">
        <v>109</v>
      </c>
      <c r="K223">
        <v>55</v>
      </c>
      <c r="L223">
        <v>68</v>
      </c>
      <c r="M223">
        <v>8</v>
      </c>
      <c r="N223" s="5">
        <v>16105</v>
      </c>
      <c r="O223" t="s">
        <v>51</v>
      </c>
      <c r="P223" t="str">
        <f t="shared" si="7"/>
        <v>Hospital Central de Quelimane</v>
      </c>
      <c r="Q223" t="s">
        <v>24</v>
      </c>
      <c r="R223">
        <v>5</v>
      </c>
    </row>
    <row r="224" spans="1:18" x14ac:dyDescent="0.45">
      <c r="A224" t="s">
        <v>309</v>
      </c>
      <c r="B224" s="3">
        <v>45464</v>
      </c>
      <c r="C224">
        <v>40</v>
      </c>
      <c r="D224" t="s">
        <v>20</v>
      </c>
      <c r="E224">
        <v>61.8</v>
      </c>
      <c r="F224">
        <v>149.4</v>
      </c>
      <c r="G224" s="4">
        <f t="shared" si="6"/>
        <v>27.687725466793545</v>
      </c>
      <c r="H224" t="s">
        <v>34</v>
      </c>
      <c r="I224" t="s">
        <v>126</v>
      </c>
      <c r="J224">
        <v>106</v>
      </c>
      <c r="K224">
        <v>61</v>
      </c>
      <c r="L224">
        <v>86</v>
      </c>
      <c r="M224">
        <v>4</v>
      </c>
      <c r="N224" s="5">
        <v>10561.75</v>
      </c>
      <c r="O224" t="s">
        <v>63</v>
      </c>
      <c r="P224" t="str">
        <f t="shared" si="7"/>
        <v>Hospital Central de Nampula</v>
      </c>
      <c r="Q224" t="s">
        <v>37</v>
      </c>
      <c r="R224">
        <v>4</v>
      </c>
    </row>
    <row r="225" spans="1:18" x14ac:dyDescent="0.45">
      <c r="A225" t="s">
        <v>310</v>
      </c>
      <c r="B225" s="3">
        <v>44938</v>
      </c>
      <c r="C225">
        <v>18</v>
      </c>
      <c r="D225" t="s">
        <v>20</v>
      </c>
      <c r="E225">
        <v>44.6</v>
      </c>
      <c r="F225">
        <v>173.8</v>
      </c>
      <c r="G225" s="4">
        <f t="shared" si="6"/>
        <v>14.765063344108075</v>
      </c>
      <c r="H225" t="s">
        <v>41</v>
      </c>
      <c r="I225" t="s">
        <v>161</v>
      </c>
      <c r="J225">
        <v>119</v>
      </c>
      <c r="K225">
        <v>76</v>
      </c>
      <c r="L225">
        <v>90</v>
      </c>
      <c r="M225">
        <v>1</v>
      </c>
      <c r="N225" s="5">
        <v>4006.51</v>
      </c>
      <c r="O225" t="s">
        <v>43</v>
      </c>
      <c r="P225" t="str">
        <f t="shared" si="7"/>
        <v>Hospital Central da Beira</v>
      </c>
      <c r="Q225" t="s">
        <v>24</v>
      </c>
      <c r="R225">
        <v>4</v>
      </c>
    </row>
    <row r="226" spans="1:18" x14ac:dyDescent="0.45">
      <c r="A226" t="s">
        <v>311</v>
      </c>
      <c r="B226" s="3">
        <v>45513</v>
      </c>
      <c r="C226">
        <v>82</v>
      </c>
      <c r="D226" t="s">
        <v>27</v>
      </c>
      <c r="E226">
        <v>66</v>
      </c>
      <c r="F226">
        <v>158.69999999999999</v>
      </c>
      <c r="G226" s="4">
        <f t="shared" si="6"/>
        <v>26.205357089680689</v>
      </c>
      <c r="H226" t="s">
        <v>21</v>
      </c>
      <c r="I226" t="s">
        <v>89</v>
      </c>
      <c r="J226">
        <v>140</v>
      </c>
      <c r="K226">
        <v>86</v>
      </c>
      <c r="L226">
        <v>109</v>
      </c>
      <c r="M226">
        <v>3</v>
      </c>
      <c r="N226" s="5">
        <v>3582.95</v>
      </c>
      <c r="O226" t="s">
        <v>57</v>
      </c>
      <c r="P226" t="str">
        <f t="shared" si="7"/>
        <v>Hospital Provincial de Tete</v>
      </c>
      <c r="Q226" t="s">
        <v>24</v>
      </c>
      <c r="R226">
        <v>4</v>
      </c>
    </row>
    <row r="227" spans="1:18" x14ac:dyDescent="0.45">
      <c r="A227" t="s">
        <v>312</v>
      </c>
      <c r="B227" s="3">
        <v>45447</v>
      </c>
      <c r="C227">
        <v>48</v>
      </c>
      <c r="D227" t="s">
        <v>20</v>
      </c>
      <c r="E227">
        <v>60.5</v>
      </c>
      <c r="F227">
        <v>171.1</v>
      </c>
      <c r="G227" s="4">
        <f t="shared" si="6"/>
        <v>20.66594910847779</v>
      </c>
      <c r="H227" t="s">
        <v>46</v>
      </c>
      <c r="I227" t="s">
        <v>66</v>
      </c>
      <c r="J227">
        <v>127</v>
      </c>
      <c r="K227">
        <v>80</v>
      </c>
      <c r="L227">
        <v>68</v>
      </c>
      <c r="M227">
        <v>3</v>
      </c>
      <c r="N227" s="5">
        <v>8601.84</v>
      </c>
      <c r="O227" t="s">
        <v>51</v>
      </c>
      <c r="P227" t="str">
        <f t="shared" si="7"/>
        <v>Hospital Central de Quelimane</v>
      </c>
      <c r="Q227" t="s">
        <v>24</v>
      </c>
      <c r="R227">
        <v>5</v>
      </c>
    </row>
    <row r="228" spans="1:18" x14ac:dyDescent="0.45">
      <c r="A228" t="s">
        <v>313</v>
      </c>
      <c r="B228" s="3">
        <v>45154</v>
      </c>
      <c r="C228">
        <v>44</v>
      </c>
      <c r="D228" t="s">
        <v>20</v>
      </c>
      <c r="E228">
        <v>60.6</v>
      </c>
      <c r="F228">
        <v>154.69999999999999</v>
      </c>
      <c r="G228" s="4">
        <f t="shared" si="6"/>
        <v>25.321649718014601</v>
      </c>
      <c r="H228" t="s">
        <v>91</v>
      </c>
      <c r="I228" t="s">
        <v>116</v>
      </c>
      <c r="J228">
        <v>137</v>
      </c>
      <c r="K228">
        <v>92</v>
      </c>
      <c r="L228">
        <v>65</v>
      </c>
      <c r="M228">
        <v>5</v>
      </c>
      <c r="N228" s="5">
        <v>10594.22</v>
      </c>
      <c r="O228" t="s">
        <v>31</v>
      </c>
      <c r="P228" t="str">
        <f t="shared" si="7"/>
        <v>Hospital Provincial da Matola</v>
      </c>
      <c r="Q228" t="s">
        <v>24</v>
      </c>
      <c r="R228">
        <v>5</v>
      </c>
    </row>
    <row r="229" spans="1:18" x14ac:dyDescent="0.45">
      <c r="A229" t="s">
        <v>314</v>
      </c>
      <c r="B229" s="3">
        <v>45147</v>
      </c>
      <c r="C229">
        <v>27</v>
      </c>
      <c r="D229" t="s">
        <v>27</v>
      </c>
      <c r="E229">
        <v>58.4</v>
      </c>
      <c r="F229">
        <v>162.1</v>
      </c>
      <c r="G229" s="4">
        <f t="shared" si="6"/>
        <v>22.225258321056796</v>
      </c>
      <c r="H229" t="s">
        <v>99</v>
      </c>
      <c r="I229" t="s">
        <v>103</v>
      </c>
      <c r="J229">
        <v>87</v>
      </c>
      <c r="K229">
        <v>60</v>
      </c>
      <c r="L229">
        <v>101</v>
      </c>
      <c r="M229">
        <v>5</v>
      </c>
      <c r="N229" s="5">
        <v>12322.02</v>
      </c>
      <c r="O229" t="s">
        <v>67</v>
      </c>
      <c r="P229" t="str">
        <f t="shared" si="7"/>
        <v>Hospital Provincial de Pemba</v>
      </c>
      <c r="Q229" t="s">
        <v>24</v>
      </c>
      <c r="R229">
        <v>4</v>
      </c>
    </row>
    <row r="230" spans="1:18" x14ac:dyDescent="0.45">
      <c r="A230" t="s">
        <v>315</v>
      </c>
      <c r="B230" s="3">
        <v>45470</v>
      </c>
      <c r="C230">
        <v>18</v>
      </c>
      <c r="D230" t="s">
        <v>20</v>
      </c>
      <c r="E230">
        <v>52.3</v>
      </c>
      <c r="F230">
        <v>168.5</v>
      </c>
      <c r="G230" s="4">
        <f t="shared" si="6"/>
        <v>18.420519684068712</v>
      </c>
      <c r="H230" t="s">
        <v>55</v>
      </c>
      <c r="I230" t="s">
        <v>56</v>
      </c>
      <c r="J230">
        <v>85</v>
      </c>
      <c r="K230">
        <v>55</v>
      </c>
      <c r="L230">
        <v>98</v>
      </c>
      <c r="M230">
        <v>5</v>
      </c>
      <c r="N230" s="5">
        <v>9277.35</v>
      </c>
      <c r="O230" t="s">
        <v>57</v>
      </c>
      <c r="P230" t="str">
        <f t="shared" si="7"/>
        <v>Hospital Provincial de Tete</v>
      </c>
      <c r="Q230" t="s">
        <v>37</v>
      </c>
      <c r="R230">
        <v>4</v>
      </c>
    </row>
    <row r="231" spans="1:18" x14ac:dyDescent="0.45">
      <c r="A231" t="s">
        <v>316</v>
      </c>
      <c r="B231" s="3">
        <v>45320</v>
      </c>
      <c r="C231">
        <v>58</v>
      </c>
      <c r="D231" t="s">
        <v>27</v>
      </c>
      <c r="E231">
        <v>94.6</v>
      </c>
      <c r="F231">
        <v>159.6</v>
      </c>
      <c r="G231" s="4">
        <f t="shared" si="6"/>
        <v>37.138585812903187</v>
      </c>
      <c r="H231" t="s">
        <v>34</v>
      </c>
      <c r="I231" t="s">
        <v>138</v>
      </c>
      <c r="J231">
        <v>136</v>
      </c>
      <c r="K231">
        <v>83</v>
      </c>
      <c r="L231">
        <v>104</v>
      </c>
      <c r="M231">
        <v>4</v>
      </c>
      <c r="N231" s="5">
        <v>12012.16</v>
      </c>
      <c r="O231" t="s">
        <v>51</v>
      </c>
      <c r="P231" t="str">
        <f t="shared" si="7"/>
        <v>Hospital Central de Quelimane</v>
      </c>
      <c r="Q231" t="s">
        <v>37</v>
      </c>
      <c r="R231">
        <v>5</v>
      </c>
    </row>
    <row r="232" spans="1:18" x14ac:dyDescent="0.45">
      <c r="A232" t="s">
        <v>317</v>
      </c>
      <c r="B232" s="3">
        <v>45493</v>
      </c>
      <c r="C232">
        <v>9</v>
      </c>
      <c r="D232" t="s">
        <v>20</v>
      </c>
      <c r="E232">
        <v>28.7</v>
      </c>
      <c r="F232">
        <v>123.4</v>
      </c>
      <c r="G232" s="4">
        <f t="shared" si="6"/>
        <v>18.847405625064027</v>
      </c>
      <c r="H232" t="s">
        <v>28</v>
      </c>
      <c r="I232" t="s">
        <v>50</v>
      </c>
      <c r="J232">
        <v>100</v>
      </c>
      <c r="K232">
        <v>57</v>
      </c>
      <c r="L232">
        <v>65</v>
      </c>
      <c r="M232">
        <v>1</v>
      </c>
      <c r="N232" s="5">
        <v>4722.05</v>
      </c>
      <c r="O232" t="s">
        <v>51</v>
      </c>
      <c r="P232" t="str">
        <f t="shared" si="7"/>
        <v>Hospital Central de Quelimane</v>
      </c>
      <c r="Q232" t="s">
        <v>24</v>
      </c>
      <c r="R232">
        <v>4</v>
      </c>
    </row>
    <row r="233" spans="1:18" x14ac:dyDescent="0.45">
      <c r="A233" t="s">
        <v>318</v>
      </c>
      <c r="B233" s="3">
        <v>45523</v>
      </c>
      <c r="C233">
        <v>54</v>
      </c>
      <c r="D233" t="s">
        <v>27</v>
      </c>
      <c r="E233">
        <v>69.2</v>
      </c>
      <c r="F233">
        <v>156.1</v>
      </c>
      <c r="G233" s="4">
        <f t="shared" si="6"/>
        <v>28.398819561205411</v>
      </c>
      <c r="H233" t="s">
        <v>46</v>
      </c>
      <c r="I233" t="s">
        <v>66</v>
      </c>
      <c r="J233">
        <v>107</v>
      </c>
      <c r="K233">
        <v>69</v>
      </c>
      <c r="L233">
        <v>92</v>
      </c>
      <c r="M233">
        <v>4</v>
      </c>
      <c r="N233" s="5">
        <v>8364.68</v>
      </c>
      <c r="O233" t="s">
        <v>31</v>
      </c>
      <c r="P233" t="str">
        <f t="shared" si="7"/>
        <v>Hospital Provincial da Matola</v>
      </c>
      <c r="Q233" t="s">
        <v>24</v>
      </c>
      <c r="R233">
        <v>3</v>
      </c>
    </row>
    <row r="234" spans="1:18" x14ac:dyDescent="0.45">
      <c r="A234" t="s">
        <v>319</v>
      </c>
      <c r="B234" s="3">
        <v>44990</v>
      </c>
      <c r="C234">
        <v>17</v>
      </c>
      <c r="D234" t="s">
        <v>27</v>
      </c>
      <c r="E234">
        <v>74.2</v>
      </c>
      <c r="F234">
        <v>156.80000000000001</v>
      </c>
      <c r="G234" s="4">
        <f t="shared" si="6"/>
        <v>30.179482507288625</v>
      </c>
      <c r="H234" t="s">
        <v>28</v>
      </c>
      <c r="I234" t="s">
        <v>29</v>
      </c>
      <c r="J234">
        <v>93</v>
      </c>
      <c r="K234">
        <v>55</v>
      </c>
      <c r="L234">
        <v>75</v>
      </c>
      <c r="M234">
        <v>4</v>
      </c>
      <c r="N234" s="5">
        <v>9361.6200000000008</v>
      </c>
      <c r="O234" t="s">
        <v>63</v>
      </c>
      <c r="P234" t="str">
        <f t="shared" si="7"/>
        <v>Hospital Central de Nampula</v>
      </c>
      <c r="Q234" t="s">
        <v>24</v>
      </c>
      <c r="R234">
        <v>4</v>
      </c>
    </row>
    <row r="235" spans="1:18" x14ac:dyDescent="0.45">
      <c r="A235" t="s">
        <v>320</v>
      </c>
      <c r="B235" s="3">
        <v>44975</v>
      </c>
      <c r="C235">
        <v>33</v>
      </c>
      <c r="D235" t="s">
        <v>27</v>
      </c>
      <c r="E235">
        <v>63.1</v>
      </c>
      <c r="F235">
        <v>165.9</v>
      </c>
      <c r="G235" s="4">
        <f t="shared" si="6"/>
        <v>22.926438107155484</v>
      </c>
      <c r="H235" t="s">
        <v>91</v>
      </c>
      <c r="I235" t="s">
        <v>116</v>
      </c>
      <c r="J235">
        <v>112</v>
      </c>
      <c r="K235">
        <v>65</v>
      </c>
      <c r="L235">
        <v>113</v>
      </c>
      <c r="M235">
        <v>2</v>
      </c>
      <c r="N235" s="5">
        <v>5402.27</v>
      </c>
      <c r="O235" t="s">
        <v>51</v>
      </c>
      <c r="P235" t="str">
        <f t="shared" si="7"/>
        <v>Hospital Central de Quelimane</v>
      </c>
      <c r="Q235" t="s">
        <v>24</v>
      </c>
      <c r="R235">
        <v>4</v>
      </c>
    </row>
    <row r="236" spans="1:18" x14ac:dyDescent="0.45">
      <c r="A236" t="s">
        <v>321</v>
      </c>
      <c r="B236" s="3">
        <v>45544</v>
      </c>
      <c r="C236">
        <v>18</v>
      </c>
      <c r="D236" t="s">
        <v>20</v>
      </c>
      <c r="E236">
        <v>71.2</v>
      </c>
      <c r="F236">
        <v>161.5</v>
      </c>
      <c r="G236" s="4">
        <f t="shared" si="6"/>
        <v>27.298258394118605</v>
      </c>
      <c r="H236" t="s">
        <v>46</v>
      </c>
      <c r="I236" t="s">
        <v>94</v>
      </c>
      <c r="J236">
        <v>104</v>
      </c>
      <c r="K236">
        <v>60</v>
      </c>
      <c r="L236">
        <v>97</v>
      </c>
      <c r="M236">
        <v>1</v>
      </c>
      <c r="N236" s="5">
        <v>4211.0200000000004</v>
      </c>
      <c r="O236" t="s">
        <v>23</v>
      </c>
      <c r="P236" t="str">
        <f t="shared" si="7"/>
        <v>Hospital Central de Maputo</v>
      </c>
      <c r="Q236" t="s">
        <v>24</v>
      </c>
      <c r="R236">
        <v>3</v>
      </c>
    </row>
    <row r="237" spans="1:18" x14ac:dyDescent="0.45">
      <c r="A237" t="s">
        <v>322</v>
      </c>
      <c r="B237" s="3">
        <v>45265</v>
      </c>
      <c r="C237">
        <v>56</v>
      </c>
      <c r="D237" t="s">
        <v>27</v>
      </c>
      <c r="E237">
        <v>70.8</v>
      </c>
      <c r="F237">
        <v>183</v>
      </c>
      <c r="G237" s="4">
        <f t="shared" si="6"/>
        <v>21.141270267849141</v>
      </c>
      <c r="H237" t="s">
        <v>46</v>
      </c>
      <c r="I237" t="s">
        <v>94</v>
      </c>
      <c r="J237">
        <v>105</v>
      </c>
      <c r="K237">
        <v>59</v>
      </c>
      <c r="L237">
        <v>67</v>
      </c>
      <c r="M237">
        <v>1</v>
      </c>
      <c r="N237" s="5">
        <v>5022.29</v>
      </c>
      <c r="O237" t="s">
        <v>23</v>
      </c>
      <c r="P237" t="str">
        <f t="shared" si="7"/>
        <v>Hospital Central de Maputo</v>
      </c>
      <c r="Q237" t="s">
        <v>24</v>
      </c>
      <c r="R237">
        <v>4</v>
      </c>
    </row>
    <row r="238" spans="1:18" x14ac:dyDescent="0.45">
      <c r="A238" t="s">
        <v>323</v>
      </c>
      <c r="B238" s="3">
        <v>45115</v>
      </c>
      <c r="C238">
        <v>18</v>
      </c>
      <c r="D238" t="s">
        <v>20</v>
      </c>
      <c r="E238">
        <v>71.5</v>
      </c>
      <c r="F238">
        <v>153.4</v>
      </c>
      <c r="G238" s="4">
        <f t="shared" si="6"/>
        <v>30.384725874527653</v>
      </c>
      <c r="H238" t="s">
        <v>46</v>
      </c>
      <c r="I238" t="s">
        <v>94</v>
      </c>
      <c r="J238">
        <v>114</v>
      </c>
      <c r="K238">
        <v>72</v>
      </c>
      <c r="L238">
        <v>91</v>
      </c>
      <c r="M238">
        <v>1</v>
      </c>
      <c r="N238" s="5">
        <v>4335.66</v>
      </c>
      <c r="O238" t="s">
        <v>52</v>
      </c>
      <c r="P238" t="str">
        <f t="shared" si="7"/>
        <v>Hospital Provincial de Chimoio</v>
      </c>
      <c r="Q238" t="s">
        <v>76</v>
      </c>
      <c r="R238">
        <v>5</v>
      </c>
    </row>
    <row r="239" spans="1:18" x14ac:dyDescent="0.45">
      <c r="A239" t="s">
        <v>324</v>
      </c>
      <c r="B239" s="3">
        <v>45591</v>
      </c>
      <c r="C239">
        <v>52</v>
      </c>
      <c r="D239" t="s">
        <v>20</v>
      </c>
      <c r="E239">
        <v>72.7</v>
      </c>
      <c r="F239">
        <v>144.6</v>
      </c>
      <c r="G239" s="4">
        <f t="shared" si="6"/>
        <v>34.769450327033702</v>
      </c>
      <c r="H239" t="s">
        <v>21</v>
      </c>
      <c r="I239" t="s">
        <v>123</v>
      </c>
      <c r="J239">
        <v>108</v>
      </c>
      <c r="K239">
        <v>61</v>
      </c>
      <c r="L239">
        <v>117</v>
      </c>
      <c r="M239">
        <v>1</v>
      </c>
      <c r="N239" s="5">
        <v>6536.11</v>
      </c>
      <c r="O239" t="s">
        <v>30</v>
      </c>
      <c r="P239" t="str">
        <f t="shared" si="7"/>
        <v>Hospital Provincial de Inhambane</v>
      </c>
      <c r="Q239" t="s">
        <v>24</v>
      </c>
      <c r="R239">
        <v>3</v>
      </c>
    </row>
    <row r="240" spans="1:18" x14ac:dyDescent="0.45">
      <c r="A240" t="s">
        <v>325</v>
      </c>
      <c r="B240" s="3">
        <v>45456</v>
      </c>
      <c r="C240">
        <v>31</v>
      </c>
      <c r="D240" t="s">
        <v>27</v>
      </c>
      <c r="E240">
        <v>64.8</v>
      </c>
      <c r="F240">
        <v>155.5</v>
      </c>
      <c r="G240" s="4">
        <f t="shared" si="6"/>
        <v>26.798730368792715</v>
      </c>
      <c r="H240" t="s">
        <v>41</v>
      </c>
      <c r="I240" t="s">
        <v>161</v>
      </c>
      <c r="J240">
        <v>106</v>
      </c>
      <c r="K240">
        <v>61</v>
      </c>
      <c r="L240">
        <v>96</v>
      </c>
      <c r="M240">
        <v>14</v>
      </c>
      <c r="N240" s="5">
        <v>39753.79</v>
      </c>
      <c r="O240" t="s">
        <v>57</v>
      </c>
      <c r="P240" t="str">
        <f t="shared" si="7"/>
        <v>Hospital Provincial de Tete</v>
      </c>
      <c r="Q240" t="s">
        <v>24</v>
      </c>
      <c r="R240">
        <v>4</v>
      </c>
    </row>
    <row r="241" spans="1:18" x14ac:dyDescent="0.45">
      <c r="A241" t="s">
        <v>326</v>
      </c>
      <c r="B241" s="3">
        <v>45145</v>
      </c>
      <c r="C241">
        <v>28</v>
      </c>
      <c r="D241" t="s">
        <v>27</v>
      </c>
      <c r="E241">
        <v>59.6</v>
      </c>
      <c r="F241">
        <v>149.4</v>
      </c>
      <c r="G241" s="4">
        <f t="shared" si="6"/>
        <v>26.702078281891513</v>
      </c>
      <c r="H241" t="s">
        <v>99</v>
      </c>
      <c r="I241" t="s">
        <v>103</v>
      </c>
      <c r="J241">
        <v>131</v>
      </c>
      <c r="K241">
        <v>79</v>
      </c>
      <c r="L241">
        <v>65</v>
      </c>
      <c r="M241">
        <v>5</v>
      </c>
      <c r="N241" s="5">
        <v>8291.7800000000007</v>
      </c>
      <c r="O241" t="s">
        <v>30</v>
      </c>
      <c r="P241" t="str">
        <f t="shared" si="7"/>
        <v>Hospital Provincial de Inhambane</v>
      </c>
      <c r="Q241" t="s">
        <v>24</v>
      </c>
      <c r="R241">
        <v>2</v>
      </c>
    </row>
    <row r="242" spans="1:18" x14ac:dyDescent="0.45">
      <c r="A242" t="s">
        <v>327</v>
      </c>
      <c r="B242" s="3">
        <v>45184</v>
      </c>
      <c r="C242">
        <v>18</v>
      </c>
      <c r="D242" t="s">
        <v>20</v>
      </c>
      <c r="E242">
        <v>57.5</v>
      </c>
      <c r="F242">
        <v>170.8</v>
      </c>
      <c r="G242" s="4">
        <f t="shared" si="6"/>
        <v>19.710249055279188</v>
      </c>
      <c r="H242" t="s">
        <v>55</v>
      </c>
      <c r="I242" t="s">
        <v>197</v>
      </c>
      <c r="J242">
        <v>95</v>
      </c>
      <c r="K242">
        <v>60</v>
      </c>
      <c r="L242">
        <v>80</v>
      </c>
      <c r="M242">
        <v>1</v>
      </c>
      <c r="N242" s="5">
        <v>5246.45</v>
      </c>
      <c r="O242" t="s">
        <v>23</v>
      </c>
      <c r="P242" t="str">
        <f t="shared" si="7"/>
        <v>Hospital Central de Maputo</v>
      </c>
      <c r="Q242" t="s">
        <v>24</v>
      </c>
      <c r="R242">
        <v>2</v>
      </c>
    </row>
    <row r="243" spans="1:18" x14ac:dyDescent="0.45">
      <c r="A243" t="s">
        <v>328</v>
      </c>
      <c r="B243" s="3">
        <v>45001</v>
      </c>
      <c r="C243">
        <v>53</v>
      </c>
      <c r="D243" t="s">
        <v>27</v>
      </c>
      <c r="E243">
        <v>81.7</v>
      </c>
      <c r="F243">
        <v>159.6</v>
      </c>
      <c r="G243" s="4">
        <f t="shared" si="6"/>
        <v>32.074233202052753</v>
      </c>
      <c r="H243" t="s">
        <v>34</v>
      </c>
      <c r="I243" t="s">
        <v>128</v>
      </c>
      <c r="J243">
        <v>113</v>
      </c>
      <c r="K243">
        <v>67</v>
      </c>
      <c r="L243">
        <v>107</v>
      </c>
      <c r="M243">
        <v>6</v>
      </c>
      <c r="N243" s="5">
        <v>6909.91</v>
      </c>
      <c r="O243" t="s">
        <v>31</v>
      </c>
      <c r="P243" t="str">
        <f t="shared" si="7"/>
        <v>Hospital Provincial da Matola</v>
      </c>
      <c r="Q243" t="s">
        <v>24</v>
      </c>
      <c r="R243">
        <v>5</v>
      </c>
    </row>
    <row r="244" spans="1:18" x14ac:dyDescent="0.45">
      <c r="A244" t="s">
        <v>329</v>
      </c>
      <c r="B244" s="3">
        <v>45485</v>
      </c>
      <c r="C244">
        <v>30</v>
      </c>
      <c r="D244" t="s">
        <v>27</v>
      </c>
      <c r="E244">
        <v>87.9</v>
      </c>
      <c r="F244">
        <v>157.4</v>
      </c>
      <c r="G244" s="4">
        <f t="shared" si="6"/>
        <v>35.479657522413937</v>
      </c>
      <c r="H244" t="s">
        <v>34</v>
      </c>
      <c r="I244" t="s">
        <v>138</v>
      </c>
      <c r="J244">
        <v>135</v>
      </c>
      <c r="K244">
        <v>81</v>
      </c>
      <c r="L244">
        <v>65</v>
      </c>
      <c r="M244">
        <v>1</v>
      </c>
      <c r="N244" s="5">
        <v>3950.22</v>
      </c>
      <c r="O244" t="s">
        <v>23</v>
      </c>
      <c r="P244" t="str">
        <f t="shared" si="7"/>
        <v>Hospital Central de Maputo</v>
      </c>
      <c r="Q244" t="s">
        <v>24</v>
      </c>
      <c r="R244">
        <v>4</v>
      </c>
    </row>
    <row r="245" spans="1:18" x14ac:dyDescent="0.45">
      <c r="A245" t="s">
        <v>330</v>
      </c>
      <c r="B245" s="3">
        <v>45487</v>
      </c>
      <c r="C245">
        <v>18</v>
      </c>
      <c r="D245" t="s">
        <v>20</v>
      </c>
      <c r="E245">
        <v>89.3</v>
      </c>
      <c r="F245">
        <v>167.7</v>
      </c>
      <c r="G245" s="4">
        <f t="shared" si="6"/>
        <v>31.753041696046239</v>
      </c>
      <c r="H245" t="s">
        <v>91</v>
      </c>
      <c r="I245" t="s">
        <v>116</v>
      </c>
      <c r="J245">
        <v>111</v>
      </c>
      <c r="K245">
        <v>66</v>
      </c>
      <c r="L245">
        <v>97</v>
      </c>
      <c r="M245">
        <v>1</v>
      </c>
      <c r="N245" s="5">
        <v>3843.66</v>
      </c>
      <c r="O245" t="s">
        <v>57</v>
      </c>
      <c r="P245" t="str">
        <f t="shared" si="7"/>
        <v>Hospital Provincial de Tete</v>
      </c>
      <c r="Q245" t="s">
        <v>24</v>
      </c>
      <c r="R245">
        <v>5</v>
      </c>
    </row>
    <row r="246" spans="1:18" x14ac:dyDescent="0.45">
      <c r="A246" t="s">
        <v>331</v>
      </c>
      <c r="B246" s="3">
        <v>45489</v>
      </c>
      <c r="C246">
        <v>59</v>
      </c>
      <c r="D246" t="s">
        <v>27</v>
      </c>
      <c r="E246">
        <v>68.3</v>
      </c>
      <c r="F246">
        <v>162.19999999999999</v>
      </c>
      <c r="G246" s="4">
        <f t="shared" si="6"/>
        <v>25.960855742784556</v>
      </c>
      <c r="H246" t="s">
        <v>46</v>
      </c>
      <c r="I246" t="s">
        <v>47</v>
      </c>
      <c r="J246">
        <v>139</v>
      </c>
      <c r="K246">
        <v>91</v>
      </c>
      <c r="L246">
        <v>75</v>
      </c>
      <c r="M246">
        <v>1</v>
      </c>
      <c r="N246" s="5">
        <v>3317.73</v>
      </c>
      <c r="O246" t="s">
        <v>57</v>
      </c>
      <c r="P246" t="str">
        <f t="shared" si="7"/>
        <v>Hospital Provincial de Tete</v>
      </c>
      <c r="Q246" t="s">
        <v>37</v>
      </c>
      <c r="R246">
        <v>4</v>
      </c>
    </row>
    <row r="247" spans="1:18" x14ac:dyDescent="0.45">
      <c r="A247" t="s">
        <v>332</v>
      </c>
      <c r="B247" s="3">
        <v>45388</v>
      </c>
      <c r="C247">
        <v>39</v>
      </c>
      <c r="D247" t="s">
        <v>27</v>
      </c>
      <c r="E247">
        <v>57.5</v>
      </c>
      <c r="F247">
        <v>161.19999999999999</v>
      </c>
      <c r="G247" s="4">
        <f t="shared" si="6"/>
        <v>22.127776170039841</v>
      </c>
      <c r="H247" t="s">
        <v>55</v>
      </c>
      <c r="I247" t="s">
        <v>62</v>
      </c>
      <c r="J247">
        <v>95</v>
      </c>
      <c r="K247">
        <v>55</v>
      </c>
      <c r="L247">
        <v>100</v>
      </c>
      <c r="M247">
        <v>1</v>
      </c>
      <c r="N247" s="5">
        <v>7014.84</v>
      </c>
      <c r="O247" t="s">
        <v>51</v>
      </c>
      <c r="P247" t="str">
        <f t="shared" si="7"/>
        <v>Hospital Central de Quelimane</v>
      </c>
      <c r="Q247" t="s">
        <v>24</v>
      </c>
      <c r="R247">
        <v>4</v>
      </c>
    </row>
    <row r="248" spans="1:18" x14ac:dyDescent="0.45">
      <c r="A248" t="s">
        <v>333</v>
      </c>
      <c r="B248" s="3">
        <v>45622</v>
      </c>
      <c r="C248">
        <v>25</v>
      </c>
      <c r="D248" t="s">
        <v>27</v>
      </c>
      <c r="E248">
        <v>71</v>
      </c>
      <c r="F248">
        <v>148.4</v>
      </c>
      <c r="G248" s="4">
        <f t="shared" si="6"/>
        <v>32.239666959699512</v>
      </c>
      <c r="H248" t="s">
        <v>99</v>
      </c>
      <c r="I248" t="s">
        <v>100</v>
      </c>
      <c r="J248">
        <v>104</v>
      </c>
      <c r="K248">
        <v>64</v>
      </c>
      <c r="L248">
        <v>83</v>
      </c>
      <c r="M248">
        <v>1</v>
      </c>
      <c r="N248" s="5">
        <v>6163.84</v>
      </c>
      <c r="O248" t="s">
        <v>31</v>
      </c>
      <c r="P248" t="str">
        <f t="shared" si="7"/>
        <v>Hospital Provincial da Matola</v>
      </c>
      <c r="Q248" t="s">
        <v>24</v>
      </c>
      <c r="R248">
        <v>4</v>
      </c>
    </row>
    <row r="249" spans="1:18" x14ac:dyDescent="0.45">
      <c r="A249" t="s">
        <v>334</v>
      </c>
      <c r="B249" s="3">
        <v>45004</v>
      </c>
      <c r="C249">
        <v>24</v>
      </c>
      <c r="D249" t="s">
        <v>27</v>
      </c>
      <c r="E249">
        <v>49.4</v>
      </c>
      <c r="F249">
        <v>167.5</v>
      </c>
      <c r="G249" s="4">
        <f t="shared" si="6"/>
        <v>17.607484963243483</v>
      </c>
      <c r="H249" t="s">
        <v>99</v>
      </c>
      <c r="I249" t="s">
        <v>105</v>
      </c>
      <c r="J249">
        <v>110</v>
      </c>
      <c r="K249">
        <v>64</v>
      </c>
      <c r="L249">
        <v>102</v>
      </c>
      <c r="M249">
        <v>8</v>
      </c>
      <c r="N249" s="5">
        <v>19757.169999999998</v>
      </c>
      <c r="O249" t="s">
        <v>23</v>
      </c>
      <c r="P249" t="str">
        <f t="shared" si="7"/>
        <v>Hospital Central de Maputo</v>
      </c>
      <c r="Q249" t="s">
        <v>24</v>
      </c>
      <c r="R249">
        <v>5</v>
      </c>
    </row>
    <row r="250" spans="1:18" x14ac:dyDescent="0.45">
      <c r="A250" t="s">
        <v>335</v>
      </c>
      <c r="B250" s="3">
        <v>45530</v>
      </c>
      <c r="C250">
        <v>16</v>
      </c>
      <c r="D250" t="s">
        <v>27</v>
      </c>
      <c r="E250">
        <v>52.7</v>
      </c>
      <c r="F250">
        <v>164.6</v>
      </c>
      <c r="G250" s="4">
        <f t="shared" si="6"/>
        <v>19.451403970596271</v>
      </c>
      <c r="H250" t="s">
        <v>28</v>
      </c>
      <c r="I250" t="s">
        <v>29</v>
      </c>
      <c r="J250">
        <v>114</v>
      </c>
      <c r="K250">
        <v>64</v>
      </c>
      <c r="L250">
        <v>65</v>
      </c>
      <c r="M250">
        <v>6</v>
      </c>
      <c r="N250" s="5">
        <v>14987.81</v>
      </c>
      <c r="O250" t="s">
        <v>52</v>
      </c>
      <c r="P250" t="str">
        <f t="shared" si="7"/>
        <v>Hospital Provincial de Chimoio</v>
      </c>
      <c r="Q250" t="s">
        <v>24</v>
      </c>
      <c r="R250">
        <v>3</v>
      </c>
    </row>
    <row r="251" spans="1:18" x14ac:dyDescent="0.45">
      <c r="A251" t="s">
        <v>336</v>
      </c>
      <c r="B251" s="3">
        <v>45506</v>
      </c>
      <c r="C251">
        <v>22</v>
      </c>
      <c r="D251" t="s">
        <v>20</v>
      </c>
      <c r="E251">
        <v>64.599999999999994</v>
      </c>
      <c r="F251">
        <v>163.9</v>
      </c>
      <c r="G251" s="4">
        <f t="shared" si="6"/>
        <v>24.0477589982731</v>
      </c>
      <c r="H251" t="s">
        <v>46</v>
      </c>
      <c r="I251" t="s">
        <v>94</v>
      </c>
      <c r="J251">
        <v>100</v>
      </c>
      <c r="K251">
        <v>61</v>
      </c>
      <c r="L251">
        <v>101</v>
      </c>
      <c r="M251">
        <v>4</v>
      </c>
      <c r="N251" s="5">
        <v>11418.07</v>
      </c>
      <c r="O251" t="s">
        <v>30</v>
      </c>
      <c r="P251" t="str">
        <f t="shared" si="7"/>
        <v>Hospital Provincial de Inhambane</v>
      </c>
      <c r="Q251" t="s">
        <v>37</v>
      </c>
      <c r="R251">
        <v>5</v>
      </c>
    </row>
    <row r="252" spans="1:18" x14ac:dyDescent="0.45">
      <c r="A252" t="s">
        <v>337</v>
      </c>
      <c r="B252" s="3">
        <v>44967</v>
      </c>
      <c r="C252">
        <v>61</v>
      </c>
      <c r="D252" t="s">
        <v>27</v>
      </c>
      <c r="E252">
        <v>68.8</v>
      </c>
      <c r="F252">
        <v>160.5</v>
      </c>
      <c r="G252" s="4">
        <f t="shared" si="6"/>
        <v>26.707815335643094</v>
      </c>
      <c r="H252" t="s">
        <v>21</v>
      </c>
      <c r="I252" t="s">
        <v>123</v>
      </c>
      <c r="J252">
        <v>116</v>
      </c>
      <c r="K252">
        <v>68</v>
      </c>
      <c r="L252">
        <v>89</v>
      </c>
      <c r="M252">
        <v>4</v>
      </c>
      <c r="N252" s="5">
        <v>9586.07</v>
      </c>
      <c r="O252" t="s">
        <v>63</v>
      </c>
      <c r="P252" t="str">
        <f t="shared" si="7"/>
        <v>Hospital Central de Nampula</v>
      </c>
      <c r="Q252" t="s">
        <v>24</v>
      </c>
      <c r="R252">
        <v>4</v>
      </c>
    </row>
    <row r="253" spans="1:18" x14ac:dyDescent="0.45">
      <c r="A253" t="s">
        <v>338</v>
      </c>
      <c r="B253" s="3">
        <v>45155</v>
      </c>
      <c r="C253">
        <v>51</v>
      </c>
      <c r="D253" t="s">
        <v>27</v>
      </c>
      <c r="E253">
        <v>65</v>
      </c>
      <c r="F253">
        <v>155.30000000000001</v>
      </c>
      <c r="G253" s="4">
        <f t="shared" si="6"/>
        <v>26.950724539132242</v>
      </c>
      <c r="H253" t="s">
        <v>91</v>
      </c>
      <c r="I253" t="s">
        <v>131</v>
      </c>
      <c r="J253">
        <v>119</v>
      </c>
      <c r="K253">
        <v>78</v>
      </c>
      <c r="L253">
        <v>78</v>
      </c>
      <c r="M253">
        <v>1</v>
      </c>
      <c r="N253" s="5">
        <v>3553.95</v>
      </c>
      <c r="O253" t="s">
        <v>31</v>
      </c>
      <c r="P253" t="str">
        <f t="shared" si="7"/>
        <v>Hospital Provincial da Matola</v>
      </c>
      <c r="Q253" t="s">
        <v>24</v>
      </c>
      <c r="R253">
        <v>4</v>
      </c>
    </row>
    <row r="254" spans="1:18" x14ac:dyDescent="0.45">
      <c r="A254" t="s">
        <v>339</v>
      </c>
      <c r="B254" s="3">
        <v>45048</v>
      </c>
      <c r="C254">
        <v>33</v>
      </c>
      <c r="D254" t="s">
        <v>20</v>
      </c>
      <c r="E254">
        <v>48.1</v>
      </c>
      <c r="F254">
        <v>166.9</v>
      </c>
      <c r="G254" s="4">
        <f t="shared" si="6"/>
        <v>17.267616828351631</v>
      </c>
      <c r="H254" t="s">
        <v>91</v>
      </c>
      <c r="I254" t="s">
        <v>131</v>
      </c>
      <c r="J254">
        <v>115</v>
      </c>
      <c r="K254">
        <v>67</v>
      </c>
      <c r="L254">
        <v>74</v>
      </c>
      <c r="M254">
        <v>1</v>
      </c>
      <c r="N254" s="5">
        <v>3630.41</v>
      </c>
      <c r="O254" t="s">
        <v>23</v>
      </c>
      <c r="P254" t="str">
        <f t="shared" si="7"/>
        <v>Hospital Central de Maputo</v>
      </c>
      <c r="Q254" t="s">
        <v>24</v>
      </c>
      <c r="R254">
        <v>5</v>
      </c>
    </row>
    <row r="255" spans="1:18" x14ac:dyDescent="0.45">
      <c r="A255" t="s">
        <v>340</v>
      </c>
      <c r="B255" s="3">
        <v>45077</v>
      </c>
      <c r="C255">
        <v>5</v>
      </c>
      <c r="D255" t="s">
        <v>20</v>
      </c>
      <c r="E255">
        <v>16.5</v>
      </c>
      <c r="F255">
        <v>79.900000000000006</v>
      </c>
      <c r="G255" s="4">
        <f t="shared" si="6"/>
        <v>25.845824176340571</v>
      </c>
      <c r="H255" t="s">
        <v>28</v>
      </c>
      <c r="I255" t="s">
        <v>73</v>
      </c>
      <c r="J255">
        <v>121</v>
      </c>
      <c r="K255">
        <v>76</v>
      </c>
      <c r="L255">
        <v>78</v>
      </c>
      <c r="M255">
        <v>1</v>
      </c>
      <c r="N255" s="5">
        <v>5610.77</v>
      </c>
      <c r="O255" t="s">
        <v>63</v>
      </c>
      <c r="P255" t="str">
        <f t="shared" si="7"/>
        <v>Hospital Central de Nampula</v>
      </c>
      <c r="Q255" t="s">
        <v>24</v>
      </c>
      <c r="R255">
        <v>5</v>
      </c>
    </row>
    <row r="256" spans="1:18" x14ac:dyDescent="0.45">
      <c r="A256" t="s">
        <v>341</v>
      </c>
      <c r="B256" s="3">
        <v>45542</v>
      </c>
      <c r="C256">
        <v>26</v>
      </c>
      <c r="D256" t="s">
        <v>20</v>
      </c>
      <c r="E256">
        <v>54</v>
      </c>
      <c r="F256">
        <v>155.30000000000001</v>
      </c>
      <c r="G256" s="4">
        <f t="shared" si="6"/>
        <v>22.389832694048323</v>
      </c>
      <c r="H256" t="s">
        <v>46</v>
      </c>
      <c r="I256" t="s">
        <v>94</v>
      </c>
      <c r="J256">
        <v>119</v>
      </c>
      <c r="K256">
        <v>81</v>
      </c>
      <c r="L256">
        <v>110</v>
      </c>
      <c r="M256">
        <v>1</v>
      </c>
      <c r="N256" s="5">
        <v>2779.75</v>
      </c>
      <c r="O256" t="s">
        <v>23</v>
      </c>
      <c r="P256" t="str">
        <f t="shared" si="7"/>
        <v>Hospital Central de Maputo</v>
      </c>
      <c r="Q256" t="s">
        <v>24</v>
      </c>
      <c r="R256">
        <v>5</v>
      </c>
    </row>
    <row r="257" spans="1:18" x14ac:dyDescent="0.45">
      <c r="A257" t="s">
        <v>342</v>
      </c>
      <c r="B257" s="3">
        <v>45627</v>
      </c>
      <c r="C257">
        <v>21</v>
      </c>
      <c r="D257" t="s">
        <v>27</v>
      </c>
      <c r="E257">
        <v>87.2</v>
      </c>
      <c r="F257">
        <v>171.5</v>
      </c>
      <c r="G257" s="4">
        <f t="shared" si="6"/>
        <v>29.647510816071534</v>
      </c>
      <c r="H257" t="s">
        <v>99</v>
      </c>
      <c r="I257" t="s">
        <v>105</v>
      </c>
      <c r="J257">
        <v>88</v>
      </c>
      <c r="K257">
        <v>55</v>
      </c>
      <c r="L257">
        <v>65</v>
      </c>
      <c r="M257">
        <v>1</v>
      </c>
      <c r="N257" s="5">
        <v>5812.76</v>
      </c>
      <c r="O257" t="s">
        <v>52</v>
      </c>
      <c r="P257" t="str">
        <f t="shared" si="7"/>
        <v>Hospital Provincial de Chimoio</v>
      </c>
      <c r="Q257" t="s">
        <v>24</v>
      </c>
      <c r="R257">
        <v>5</v>
      </c>
    </row>
    <row r="258" spans="1:18" x14ac:dyDescent="0.45">
      <c r="A258" t="s">
        <v>343</v>
      </c>
      <c r="B258" s="3">
        <v>45621</v>
      </c>
      <c r="C258">
        <v>32</v>
      </c>
      <c r="D258" t="s">
        <v>27</v>
      </c>
      <c r="E258">
        <v>50.9</v>
      </c>
      <c r="F258">
        <v>172.8</v>
      </c>
      <c r="G258" s="4">
        <f t="shared" ref="G258:G321" si="8">E258/((F258/100)^2)</f>
        <v>17.046307013031544</v>
      </c>
      <c r="H258" t="s">
        <v>41</v>
      </c>
      <c r="I258" t="s">
        <v>42</v>
      </c>
      <c r="J258">
        <v>87</v>
      </c>
      <c r="K258">
        <v>60</v>
      </c>
      <c r="L258">
        <v>65</v>
      </c>
      <c r="M258">
        <v>1</v>
      </c>
      <c r="N258" s="5">
        <v>6164.99</v>
      </c>
      <c r="O258" t="s">
        <v>63</v>
      </c>
      <c r="P258" t="str">
        <f t="shared" ref="P258:P321" si="9">INDEX($U$2:$U$12,MATCH(O258,$T$2:$T$12,0))</f>
        <v>Hospital Central de Nampula</v>
      </c>
      <c r="Q258" t="s">
        <v>24</v>
      </c>
      <c r="R258">
        <v>4</v>
      </c>
    </row>
    <row r="259" spans="1:18" x14ac:dyDescent="0.45">
      <c r="A259" t="s">
        <v>344</v>
      </c>
      <c r="B259" s="3">
        <v>45187</v>
      </c>
      <c r="C259">
        <v>41</v>
      </c>
      <c r="D259" t="s">
        <v>27</v>
      </c>
      <c r="E259">
        <v>88</v>
      </c>
      <c r="F259">
        <v>159.19999999999999</v>
      </c>
      <c r="G259" s="4">
        <f t="shared" si="8"/>
        <v>34.721345420570195</v>
      </c>
      <c r="H259" t="s">
        <v>46</v>
      </c>
      <c r="I259" t="s">
        <v>47</v>
      </c>
      <c r="J259">
        <v>109</v>
      </c>
      <c r="K259">
        <v>69</v>
      </c>
      <c r="L259">
        <v>82</v>
      </c>
      <c r="M259">
        <v>3</v>
      </c>
      <c r="N259" s="5">
        <v>4135.32</v>
      </c>
      <c r="O259" t="s">
        <v>51</v>
      </c>
      <c r="P259" t="str">
        <f t="shared" si="9"/>
        <v>Hospital Central de Quelimane</v>
      </c>
      <c r="Q259" t="s">
        <v>24</v>
      </c>
      <c r="R259">
        <v>4</v>
      </c>
    </row>
    <row r="260" spans="1:18" x14ac:dyDescent="0.45">
      <c r="A260" t="s">
        <v>345</v>
      </c>
      <c r="B260" s="3">
        <v>45297</v>
      </c>
      <c r="C260">
        <v>8</v>
      </c>
      <c r="D260" t="s">
        <v>20</v>
      </c>
      <c r="E260">
        <v>30.4</v>
      </c>
      <c r="F260">
        <v>64</v>
      </c>
      <c r="G260" s="4">
        <f t="shared" si="8"/>
        <v>74.21875</v>
      </c>
      <c r="H260" t="s">
        <v>28</v>
      </c>
      <c r="I260" t="s">
        <v>50</v>
      </c>
      <c r="J260">
        <v>93</v>
      </c>
      <c r="K260">
        <v>55</v>
      </c>
      <c r="L260">
        <v>97</v>
      </c>
      <c r="M260">
        <v>4</v>
      </c>
      <c r="N260" s="5">
        <v>12426.75</v>
      </c>
      <c r="O260" t="s">
        <v>63</v>
      </c>
      <c r="P260" t="str">
        <f t="shared" si="9"/>
        <v>Hospital Central de Nampula</v>
      </c>
      <c r="Q260" t="s">
        <v>24</v>
      </c>
      <c r="R260">
        <v>4</v>
      </c>
    </row>
    <row r="261" spans="1:18" x14ac:dyDescent="0.45">
      <c r="A261" t="s">
        <v>346</v>
      </c>
      <c r="B261" s="3">
        <v>45495</v>
      </c>
      <c r="C261">
        <v>9</v>
      </c>
      <c r="D261" t="s">
        <v>27</v>
      </c>
      <c r="E261">
        <v>14</v>
      </c>
      <c r="F261">
        <v>108.7</v>
      </c>
      <c r="G261" s="4">
        <f t="shared" si="8"/>
        <v>11.848652088875047</v>
      </c>
      <c r="H261" t="s">
        <v>28</v>
      </c>
      <c r="I261" t="s">
        <v>50</v>
      </c>
      <c r="J261">
        <v>119</v>
      </c>
      <c r="K261">
        <v>82</v>
      </c>
      <c r="L261">
        <v>96</v>
      </c>
      <c r="M261">
        <v>6</v>
      </c>
      <c r="N261" s="5">
        <v>19410.45</v>
      </c>
      <c r="O261" t="s">
        <v>52</v>
      </c>
      <c r="P261" t="str">
        <f t="shared" si="9"/>
        <v>Hospital Provincial de Chimoio</v>
      </c>
      <c r="Q261" t="s">
        <v>37</v>
      </c>
      <c r="R261">
        <v>5</v>
      </c>
    </row>
    <row r="262" spans="1:18" x14ac:dyDescent="0.45">
      <c r="A262" t="s">
        <v>347</v>
      </c>
      <c r="B262" s="3">
        <v>45555</v>
      </c>
      <c r="C262">
        <v>0</v>
      </c>
      <c r="D262" t="s">
        <v>20</v>
      </c>
      <c r="E262">
        <v>29</v>
      </c>
      <c r="F262">
        <v>116.8</v>
      </c>
      <c r="G262" s="4">
        <f t="shared" si="8"/>
        <v>21.2575060987052</v>
      </c>
      <c r="H262" t="s">
        <v>28</v>
      </c>
      <c r="I262" t="s">
        <v>29</v>
      </c>
      <c r="J262">
        <v>87</v>
      </c>
      <c r="K262">
        <v>55</v>
      </c>
      <c r="L262">
        <v>81</v>
      </c>
      <c r="M262">
        <v>1</v>
      </c>
      <c r="N262" s="5">
        <v>4240.91</v>
      </c>
      <c r="O262" t="s">
        <v>51</v>
      </c>
      <c r="P262" t="str">
        <f t="shared" si="9"/>
        <v>Hospital Central de Quelimane</v>
      </c>
      <c r="Q262" t="s">
        <v>202</v>
      </c>
      <c r="R262">
        <v>4</v>
      </c>
    </row>
    <row r="263" spans="1:18" x14ac:dyDescent="0.45">
      <c r="A263" t="s">
        <v>348</v>
      </c>
      <c r="B263" s="3">
        <v>45598</v>
      </c>
      <c r="C263">
        <v>18</v>
      </c>
      <c r="D263" t="s">
        <v>27</v>
      </c>
      <c r="E263">
        <v>55.8</v>
      </c>
      <c r="F263">
        <v>150.5</v>
      </c>
      <c r="G263" s="4">
        <f t="shared" si="8"/>
        <v>24.635489674506907</v>
      </c>
      <c r="H263" t="s">
        <v>46</v>
      </c>
      <c r="I263" t="s">
        <v>94</v>
      </c>
      <c r="J263">
        <v>97</v>
      </c>
      <c r="K263">
        <v>62</v>
      </c>
      <c r="L263">
        <v>112</v>
      </c>
      <c r="M263">
        <v>6</v>
      </c>
      <c r="N263" s="5">
        <v>10051.08</v>
      </c>
      <c r="O263" t="s">
        <v>57</v>
      </c>
      <c r="P263" t="str">
        <f t="shared" si="9"/>
        <v>Hospital Provincial de Tete</v>
      </c>
      <c r="Q263" t="s">
        <v>24</v>
      </c>
      <c r="R263">
        <v>3</v>
      </c>
    </row>
    <row r="264" spans="1:18" x14ac:dyDescent="0.45">
      <c r="A264" t="s">
        <v>349</v>
      </c>
      <c r="B264" s="3">
        <v>45100</v>
      </c>
      <c r="C264">
        <v>18</v>
      </c>
      <c r="D264" t="s">
        <v>20</v>
      </c>
      <c r="E264">
        <v>84.9</v>
      </c>
      <c r="F264">
        <v>142.69999999999999</v>
      </c>
      <c r="G264" s="4">
        <f t="shared" si="8"/>
        <v>41.692673433418683</v>
      </c>
      <c r="H264" t="s">
        <v>91</v>
      </c>
      <c r="I264" t="s">
        <v>92</v>
      </c>
      <c r="J264">
        <v>106</v>
      </c>
      <c r="K264">
        <v>62</v>
      </c>
      <c r="L264">
        <v>102</v>
      </c>
      <c r="M264">
        <v>3</v>
      </c>
      <c r="N264" s="5">
        <v>9156.89</v>
      </c>
      <c r="O264" t="s">
        <v>23</v>
      </c>
      <c r="P264" t="str">
        <f t="shared" si="9"/>
        <v>Hospital Central de Maputo</v>
      </c>
      <c r="Q264" t="s">
        <v>24</v>
      </c>
      <c r="R264">
        <v>3</v>
      </c>
    </row>
    <row r="265" spans="1:18" x14ac:dyDescent="0.45">
      <c r="A265" t="s">
        <v>350</v>
      </c>
      <c r="B265" s="3">
        <v>45499</v>
      </c>
      <c r="C265">
        <v>42</v>
      </c>
      <c r="D265" t="s">
        <v>27</v>
      </c>
      <c r="E265">
        <v>52.3</v>
      </c>
      <c r="F265">
        <v>157.1</v>
      </c>
      <c r="G265" s="4">
        <f t="shared" si="8"/>
        <v>21.19089593730412</v>
      </c>
      <c r="H265" t="s">
        <v>91</v>
      </c>
      <c r="I265" t="s">
        <v>110</v>
      </c>
      <c r="J265">
        <v>120</v>
      </c>
      <c r="K265">
        <v>78</v>
      </c>
      <c r="L265">
        <v>90</v>
      </c>
      <c r="M265">
        <v>2</v>
      </c>
      <c r="N265" s="5">
        <v>6529.53</v>
      </c>
      <c r="O265" t="s">
        <v>30</v>
      </c>
      <c r="P265" t="str">
        <f t="shared" si="9"/>
        <v>Hospital Provincial de Inhambane</v>
      </c>
      <c r="Q265" t="s">
        <v>24</v>
      </c>
      <c r="R265">
        <v>4</v>
      </c>
    </row>
    <row r="266" spans="1:18" x14ac:dyDescent="0.45">
      <c r="A266" t="s">
        <v>351</v>
      </c>
      <c r="B266" s="3">
        <v>45190</v>
      </c>
      <c r="C266">
        <v>59</v>
      </c>
      <c r="D266" t="s">
        <v>27</v>
      </c>
      <c r="E266">
        <v>65.400000000000006</v>
      </c>
      <c r="F266">
        <v>160.5</v>
      </c>
      <c r="G266" s="4">
        <f t="shared" si="8"/>
        <v>25.387952368474686</v>
      </c>
      <c r="H266" t="s">
        <v>46</v>
      </c>
      <c r="I266" t="s">
        <v>94</v>
      </c>
      <c r="J266">
        <v>93</v>
      </c>
      <c r="K266">
        <v>55</v>
      </c>
      <c r="L266">
        <v>97</v>
      </c>
      <c r="M266">
        <v>3</v>
      </c>
      <c r="N266" s="5">
        <v>3849.15</v>
      </c>
      <c r="O266" t="s">
        <v>23</v>
      </c>
      <c r="P266" t="str">
        <f t="shared" si="9"/>
        <v>Hospital Central de Maputo</v>
      </c>
      <c r="Q266" t="s">
        <v>24</v>
      </c>
      <c r="R266">
        <v>5</v>
      </c>
    </row>
    <row r="267" spans="1:18" x14ac:dyDescent="0.45">
      <c r="A267" t="s">
        <v>352</v>
      </c>
      <c r="B267" s="3">
        <v>45620</v>
      </c>
      <c r="C267">
        <v>20</v>
      </c>
      <c r="D267" t="s">
        <v>27</v>
      </c>
      <c r="E267">
        <v>61.1</v>
      </c>
      <c r="F267">
        <v>167.4</v>
      </c>
      <c r="G267" s="4">
        <f t="shared" si="8"/>
        <v>21.803705273855964</v>
      </c>
      <c r="H267" t="s">
        <v>99</v>
      </c>
      <c r="I267" t="s">
        <v>105</v>
      </c>
      <c r="J267">
        <v>99</v>
      </c>
      <c r="K267">
        <v>59</v>
      </c>
      <c r="L267">
        <v>105</v>
      </c>
      <c r="M267">
        <v>5</v>
      </c>
      <c r="N267" s="5">
        <v>10752.03</v>
      </c>
      <c r="O267" t="s">
        <v>31</v>
      </c>
      <c r="P267" t="str">
        <f t="shared" si="9"/>
        <v>Hospital Provincial da Matola</v>
      </c>
      <c r="Q267" t="s">
        <v>24</v>
      </c>
      <c r="R267">
        <v>3</v>
      </c>
    </row>
    <row r="268" spans="1:18" x14ac:dyDescent="0.45">
      <c r="A268" t="s">
        <v>353</v>
      </c>
      <c r="B268" s="3">
        <v>45514</v>
      </c>
      <c r="C268">
        <v>6</v>
      </c>
      <c r="D268" t="s">
        <v>27</v>
      </c>
      <c r="E268">
        <v>16.7</v>
      </c>
      <c r="F268">
        <v>103.6</v>
      </c>
      <c r="G268" s="4">
        <f t="shared" si="8"/>
        <v>15.559547412829264</v>
      </c>
      <c r="H268" t="s">
        <v>28</v>
      </c>
      <c r="I268" t="s">
        <v>73</v>
      </c>
      <c r="J268">
        <v>102</v>
      </c>
      <c r="K268">
        <v>67</v>
      </c>
      <c r="L268">
        <v>91</v>
      </c>
      <c r="M268">
        <v>7</v>
      </c>
      <c r="N268" s="5">
        <v>15046.75</v>
      </c>
      <c r="O268" t="s">
        <v>23</v>
      </c>
      <c r="P268" t="str">
        <f t="shared" si="9"/>
        <v>Hospital Central de Maputo</v>
      </c>
      <c r="Q268" t="s">
        <v>24</v>
      </c>
      <c r="R268">
        <v>5</v>
      </c>
    </row>
    <row r="269" spans="1:18" x14ac:dyDescent="0.45">
      <c r="A269" t="s">
        <v>354</v>
      </c>
      <c r="B269" s="3">
        <v>45431</v>
      </c>
      <c r="C269">
        <v>69</v>
      </c>
      <c r="D269" t="s">
        <v>20</v>
      </c>
      <c r="E269">
        <v>54.6</v>
      </c>
      <c r="F269">
        <v>168</v>
      </c>
      <c r="G269" s="4">
        <f t="shared" si="8"/>
        <v>19.345238095238098</v>
      </c>
      <c r="H269" t="s">
        <v>46</v>
      </c>
      <c r="I269" t="s">
        <v>47</v>
      </c>
      <c r="J269">
        <v>117</v>
      </c>
      <c r="K269">
        <v>84</v>
      </c>
      <c r="L269">
        <v>110</v>
      </c>
      <c r="M269">
        <v>1</v>
      </c>
      <c r="N269" s="5">
        <v>4289.82</v>
      </c>
      <c r="O269" t="s">
        <v>52</v>
      </c>
      <c r="P269" t="str">
        <f t="shared" si="9"/>
        <v>Hospital Provincial de Chimoio</v>
      </c>
      <c r="Q269" t="s">
        <v>24</v>
      </c>
      <c r="R269">
        <v>5</v>
      </c>
    </row>
    <row r="270" spans="1:18" x14ac:dyDescent="0.45">
      <c r="A270" t="s">
        <v>355</v>
      </c>
      <c r="B270" s="3">
        <v>45058</v>
      </c>
      <c r="C270">
        <v>22</v>
      </c>
      <c r="D270" t="s">
        <v>20</v>
      </c>
      <c r="E270">
        <v>66</v>
      </c>
      <c r="F270">
        <v>151.9</v>
      </c>
      <c r="G270" s="4">
        <f t="shared" si="8"/>
        <v>28.604106596236996</v>
      </c>
      <c r="H270" t="s">
        <v>41</v>
      </c>
      <c r="I270" t="s">
        <v>161</v>
      </c>
      <c r="J270">
        <v>96</v>
      </c>
      <c r="K270">
        <v>59</v>
      </c>
      <c r="L270">
        <v>83</v>
      </c>
      <c r="M270">
        <v>15</v>
      </c>
      <c r="N270" s="5">
        <v>39615.660000000003</v>
      </c>
      <c r="O270" t="s">
        <v>51</v>
      </c>
      <c r="P270" t="str">
        <f t="shared" si="9"/>
        <v>Hospital Central de Quelimane</v>
      </c>
      <c r="Q270" t="s">
        <v>24</v>
      </c>
      <c r="R270">
        <v>3</v>
      </c>
    </row>
    <row r="271" spans="1:18" x14ac:dyDescent="0.45">
      <c r="A271" t="s">
        <v>356</v>
      </c>
      <c r="B271" s="3">
        <v>45521</v>
      </c>
      <c r="C271">
        <v>28</v>
      </c>
      <c r="D271" t="s">
        <v>20</v>
      </c>
      <c r="E271">
        <v>72.7</v>
      </c>
      <c r="F271">
        <v>165.7</v>
      </c>
      <c r="G271" s="4">
        <f t="shared" si="8"/>
        <v>26.478257053250442</v>
      </c>
      <c r="H271" t="s">
        <v>91</v>
      </c>
      <c r="I271" t="s">
        <v>116</v>
      </c>
      <c r="J271">
        <v>107</v>
      </c>
      <c r="K271">
        <v>81</v>
      </c>
      <c r="L271">
        <v>82</v>
      </c>
      <c r="M271">
        <v>2</v>
      </c>
      <c r="N271" s="5">
        <v>6659.63</v>
      </c>
      <c r="O271" t="s">
        <v>30</v>
      </c>
      <c r="P271" t="str">
        <f t="shared" si="9"/>
        <v>Hospital Provincial de Inhambane</v>
      </c>
      <c r="Q271" t="s">
        <v>24</v>
      </c>
      <c r="R271">
        <v>4</v>
      </c>
    </row>
    <row r="272" spans="1:18" x14ac:dyDescent="0.45">
      <c r="A272" t="s">
        <v>357</v>
      </c>
      <c r="B272" s="3">
        <v>45512</v>
      </c>
      <c r="C272">
        <v>47</v>
      </c>
      <c r="D272" t="s">
        <v>20</v>
      </c>
      <c r="E272">
        <v>46.4</v>
      </c>
      <c r="F272">
        <v>168.6</v>
      </c>
      <c r="G272" s="4">
        <f t="shared" si="8"/>
        <v>16.32310746936955</v>
      </c>
      <c r="H272" t="s">
        <v>34</v>
      </c>
      <c r="I272" t="s">
        <v>138</v>
      </c>
      <c r="J272">
        <v>123</v>
      </c>
      <c r="K272">
        <v>69</v>
      </c>
      <c r="L272">
        <v>98</v>
      </c>
      <c r="M272">
        <v>6</v>
      </c>
      <c r="N272" s="5">
        <v>17658.14</v>
      </c>
      <c r="O272" t="s">
        <v>23</v>
      </c>
      <c r="P272" t="str">
        <f t="shared" si="9"/>
        <v>Hospital Central de Maputo</v>
      </c>
      <c r="Q272" t="s">
        <v>24</v>
      </c>
      <c r="R272">
        <v>3</v>
      </c>
    </row>
    <row r="273" spans="1:18" x14ac:dyDescent="0.45">
      <c r="A273" t="s">
        <v>358</v>
      </c>
      <c r="B273" s="3">
        <v>45572</v>
      </c>
      <c r="C273">
        <v>29</v>
      </c>
      <c r="D273" t="s">
        <v>27</v>
      </c>
      <c r="E273">
        <v>87.7</v>
      </c>
      <c r="F273">
        <v>162.9</v>
      </c>
      <c r="G273" s="4">
        <f t="shared" si="8"/>
        <v>33.048931637700804</v>
      </c>
      <c r="H273" t="s">
        <v>46</v>
      </c>
      <c r="I273" t="s">
        <v>108</v>
      </c>
      <c r="J273">
        <v>116</v>
      </c>
      <c r="K273">
        <v>72</v>
      </c>
      <c r="L273">
        <v>95</v>
      </c>
      <c r="M273">
        <v>1</v>
      </c>
      <c r="N273" s="5">
        <v>3728.17</v>
      </c>
      <c r="O273" t="s">
        <v>51</v>
      </c>
      <c r="P273" t="str">
        <f t="shared" si="9"/>
        <v>Hospital Central de Quelimane</v>
      </c>
      <c r="Q273" t="s">
        <v>24</v>
      </c>
      <c r="R273">
        <v>4</v>
      </c>
    </row>
    <row r="274" spans="1:18" x14ac:dyDescent="0.45">
      <c r="A274" t="s">
        <v>359</v>
      </c>
      <c r="B274" s="3">
        <v>45497</v>
      </c>
      <c r="C274">
        <v>48</v>
      </c>
      <c r="D274" t="s">
        <v>27</v>
      </c>
      <c r="E274">
        <v>80.599999999999994</v>
      </c>
      <c r="F274">
        <v>176.1</v>
      </c>
      <c r="G274" s="4">
        <f t="shared" si="8"/>
        <v>25.990601463148327</v>
      </c>
      <c r="H274" t="s">
        <v>91</v>
      </c>
      <c r="I274" t="s">
        <v>131</v>
      </c>
      <c r="J274">
        <v>126</v>
      </c>
      <c r="K274">
        <v>77</v>
      </c>
      <c r="L274">
        <v>67</v>
      </c>
      <c r="M274">
        <v>1</v>
      </c>
      <c r="N274" s="5">
        <v>4395.55</v>
      </c>
      <c r="O274" t="s">
        <v>51</v>
      </c>
      <c r="P274" t="str">
        <f t="shared" si="9"/>
        <v>Hospital Central de Quelimane</v>
      </c>
      <c r="Q274" t="s">
        <v>24</v>
      </c>
      <c r="R274">
        <v>5</v>
      </c>
    </row>
    <row r="275" spans="1:18" x14ac:dyDescent="0.45">
      <c r="A275" t="s">
        <v>360</v>
      </c>
      <c r="B275" s="3">
        <v>45007</v>
      </c>
      <c r="C275">
        <v>26</v>
      </c>
      <c r="D275" t="s">
        <v>27</v>
      </c>
      <c r="E275">
        <v>59.1</v>
      </c>
      <c r="F275">
        <v>159.6</v>
      </c>
      <c r="G275" s="4">
        <f t="shared" si="8"/>
        <v>23.201801496221762</v>
      </c>
      <c r="H275" t="s">
        <v>55</v>
      </c>
      <c r="I275" t="s">
        <v>56</v>
      </c>
      <c r="J275">
        <v>121</v>
      </c>
      <c r="K275">
        <v>84</v>
      </c>
      <c r="L275">
        <v>75</v>
      </c>
      <c r="M275">
        <v>3</v>
      </c>
      <c r="N275" s="5">
        <v>10878.58</v>
      </c>
      <c r="O275" t="s">
        <v>31</v>
      </c>
      <c r="P275" t="str">
        <f t="shared" si="9"/>
        <v>Hospital Provincial da Matola</v>
      </c>
      <c r="Q275" t="s">
        <v>24</v>
      </c>
      <c r="R275">
        <v>4</v>
      </c>
    </row>
    <row r="276" spans="1:18" x14ac:dyDescent="0.45">
      <c r="A276" t="s">
        <v>361</v>
      </c>
      <c r="B276" s="3">
        <v>45225</v>
      </c>
      <c r="C276">
        <v>58</v>
      </c>
      <c r="D276" t="s">
        <v>27</v>
      </c>
      <c r="E276">
        <v>76.900000000000006</v>
      </c>
      <c r="F276">
        <v>161.69999999999999</v>
      </c>
      <c r="G276" s="4">
        <f t="shared" si="8"/>
        <v>29.410763574558967</v>
      </c>
      <c r="H276" t="s">
        <v>55</v>
      </c>
      <c r="I276" t="s">
        <v>56</v>
      </c>
      <c r="J276">
        <v>130</v>
      </c>
      <c r="K276">
        <v>76</v>
      </c>
      <c r="L276">
        <v>65</v>
      </c>
      <c r="M276">
        <v>2</v>
      </c>
      <c r="N276" s="5">
        <v>4817.49</v>
      </c>
      <c r="O276" t="s">
        <v>51</v>
      </c>
      <c r="P276" t="str">
        <f t="shared" si="9"/>
        <v>Hospital Central de Quelimane</v>
      </c>
      <c r="Q276" t="s">
        <v>24</v>
      </c>
      <c r="R276">
        <v>5</v>
      </c>
    </row>
    <row r="277" spans="1:18" x14ac:dyDescent="0.45">
      <c r="A277" t="s">
        <v>362</v>
      </c>
      <c r="B277" s="3">
        <v>45644</v>
      </c>
      <c r="C277">
        <v>12</v>
      </c>
      <c r="D277" t="s">
        <v>20</v>
      </c>
      <c r="E277">
        <v>87.3</v>
      </c>
      <c r="F277">
        <v>150.9</v>
      </c>
      <c r="G277" s="4">
        <f t="shared" si="8"/>
        <v>38.338557126426323</v>
      </c>
      <c r="H277" t="s">
        <v>28</v>
      </c>
      <c r="I277" t="s">
        <v>29</v>
      </c>
      <c r="J277">
        <v>120</v>
      </c>
      <c r="K277">
        <v>72</v>
      </c>
      <c r="L277">
        <v>88</v>
      </c>
      <c r="M277">
        <v>5</v>
      </c>
      <c r="N277" s="5">
        <v>14213.44</v>
      </c>
      <c r="O277" t="s">
        <v>23</v>
      </c>
      <c r="P277" t="str">
        <f t="shared" si="9"/>
        <v>Hospital Central de Maputo</v>
      </c>
      <c r="Q277" t="s">
        <v>24</v>
      </c>
      <c r="R277">
        <v>2</v>
      </c>
    </row>
    <row r="278" spans="1:18" x14ac:dyDescent="0.45">
      <c r="A278" t="s">
        <v>363</v>
      </c>
      <c r="B278" s="3">
        <v>45326</v>
      </c>
      <c r="C278">
        <v>9</v>
      </c>
      <c r="D278" t="s">
        <v>27</v>
      </c>
      <c r="E278">
        <v>20.2</v>
      </c>
      <c r="F278">
        <v>96.1</v>
      </c>
      <c r="G278" s="4">
        <f t="shared" si="8"/>
        <v>21.872810688657864</v>
      </c>
      <c r="H278" t="s">
        <v>28</v>
      </c>
      <c r="I278" t="s">
        <v>73</v>
      </c>
      <c r="J278">
        <v>105</v>
      </c>
      <c r="K278">
        <v>63</v>
      </c>
      <c r="L278">
        <v>68</v>
      </c>
      <c r="M278">
        <v>1</v>
      </c>
      <c r="N278" s="5">
        <v>5617.6</v>
      </c>
      <c r="O278" t="s">
        <v>52</v>
      </c>
      <c r="P278" t="str">
        <f t="shared" si="9"/>
        <v>Hospital Provincial de Chimoio</v>
      </c>
      <c r="Q278" t="s">
        <v>24</v>
      </c>
      <c r="R278">
        <v>4</v>
      </c>
    </row>
    <row r="279" spans="1:18" x14ac:dyDescent="0.45">
      <c r="A279" t="s">
        <v>364</v>
      </c>
      <c r="B279" s="3">
        <v>45641</v>
      </c>
      <c r="C279">
        <v>18</v>
      </c>
      <c r="D279" t="s">
        <v>20</v>
      </c>
      <c r="E279">
        <v>51.5</v>
      </c>
      <c r="F279">
        <v>154.30000000000001</v>
      </c>
      <c r="G279" s="4">
        <f t="shared" si="8"/>
        <v>21.630939215380728</v>
      </c>
      <c r="H279" t="s">
        <v>55</v>
      </c>
      <c r="I279" t="s">
        <v>56</v>
      </c>
      <c r="J279">
        <v>93</v>
      </c>
      <c r="K279">
        <v>55</v>
      </c>
      <c r="L279">
        <v>77</v>
      </c>
      <c r="M279">
        <v>1</v>
      </c>
      <c r="N279" s="5">
        <v>6735.83</v>
      </c>
      <c r="O279" t="s">
        <v>43</v>
      </c>
      <c r="P279" t="str">
        <f t="shared" si="9"/>
        <v>Hospital Central da Beira</v>
      </c>
      <c r="Q279" t="s">
        <v>24</v>
      </c>
      <c r="R279">
        <v>3</v>
      </c>
    </row>
    <row r="280" spans="1:18" x14ac:dyDescent="0.45">
      <c r="A280" t="s">
        <v>365</v>
      </c>
      <c r="B280" s="3">
        <v>45237</v>
      </c>
      <c r="C280">
        <v>26</v>
      </c>
      <c r="D280" t="s">
        <v>20</v>
      </c>
      <c r="E280">
        <v>75.2</v>
      </c>
      <c r="F280">
        <v>157.4</v>
      </c>
      <c r="G280" s="4">
        <f t="shared" si="8"/>
        <v>30.353472647161869</v>
      </c>
      <c r="H280" t="s">
        <v>21</v>
      </c>
      <c r="I280" t="s">
        <v>70</v>
      </c>
      <c r="J280">
        <v>137</v>
      </c>
      <c r="K280">
        <v>85</v>
      </c>
      <c r="L280">
        <v>117</v>
      </c>
      <c r="M280">
        <v>1</v>
      </c>
      <c r="N280" s="5">
        <v>3398.06</v>
      </c>
      <c r="O280" t="s">
        <v>31</v>
      </c>
      <c r="P280" t="str">
        <f t="shared" si="9"/>
        <v>Hospital Provincial da Matola</v>
      </c>
      <c r="Q280" t="s">
        <v>24</v>
      </c>
      <c r="R280">
        <v>4</v>
      </c>
    </row>
    <row r="281" spans="1:18" x14ac:dyDescent="0.45">
      <c r="A281" t="s">
        <v>366</v>
      </c>
      <c r="B281" s="3">
        <v>45348</v>
      </c>
      <c r="C281">
        <v>31</v>
      </c>
      <c r="D281" t="s">
        <v>27</v>
      </c>
      <c r="E281">
        <v>47.1</v>
      </c>
      <c r="F281">
        <v>160.19999999999999</v>
      </c>
      <c r="G281" s="4">
        <f t="shared" si="8"/>
        <v>18.352527505412247</v>
      </c>
      <c r="H281" t="s">
        <v>91</v>
      </c>
      <c r="I281" t="s">
        <v>110</v>
      </c>
      <c r="J281">
        <v>116</v>
      </c>
      <c r="K281">
        <v>68</v>
      </c>
      <c r="L281">
        <v>111</v>
      </c>
      <c r="M281">
        <v>2</v>
      </c>
      <c r="N281" s="5">
        <v>7980.78</v>
      </c>
      <c r="O281" t="s">
        <v>51</v>
      </c>
      <c r="P281" t="str">
        <f t="shared" si="9"/>
        <v>Hospital Central de Quelimane</v>
      </c>
      <c r="Q281" t="s">
        <v>24</v>
      </c>
      <c r="R281">
        <v>4</v>
      </c>
    </row>
    <row r="282" spans="1:18" x14ac:dyDescent="0.45">
      <c r="A282" t="s">
        <v>367</v>
      </c>
      <c r="B282" s="3">
        <v>45471</v>
      </c>
      <c r="C282">
        <v>49</v>
      </c>
      <c r="D282" t="s">
        <v>27</v>
      </c>
      <c r="E282">
        <v>73</v>
      </c>
      <c r="F282">
        <v>166.1</v>
      </c>
      <c r="G282" s="4">
        <f t="shared" si="8"/>
        <v>26.459619539667862</v>
      </c>
      <c r="H282" t="s">
        <v>91</v>
      </c>
      <c r="I282" t="s">
        <v>92</v>
      </c>
      <c r="J282">
        <v>108</v>
      </c>
      <c r="K282">
        <v>60</v>
      </c>
      <c r="L282">
        <v>87</v>
      </c>
      <c r="M282">
        <v>1</v>
      </c>
      <c r="N282" s="5">
        <v>1698.47</v>
      </c>
      <c r="O282" t="s">
        <v>52</v>
      </c>
      <c r="P282" t="str">
        <f t="shared" si="9"/>
        <v>Hospital Provincial de Chimoio</v>
      </c>
      <c r="Q282" t="s">
        <v>24</v>
      </c>
      <c r="R282">
        <v>3</v>
      </c>
    </row>
    <row r="283" spans="1:18" x14ac:dyDescent="0.45">
      <c r="A283" t="s">
        <v>368</v>
      </c>
      <c r="B283" s="3">
        <v>45202</v>
      </c>
      <c r="C283">
        <v>61</v>
      </c>
      <c r="D283" t="s">
        <v>20</v>
      </c>
      <c r="E283">
        <v>70.8</v>
      </c>
      <c r="F283">
        <v>163.6</v>
      </c>
      <c r="G283" s="4">
        <f t="shared" si="8"/>
        <v>26.452496099377694</v>
      </c>
      <c r="H283" t="s">
        <v>46</v>
      </c>
      <c r="I283" t="s">
        <v>47</v>
      </c>
      <c r="J283">
        <v>113</v>
      </c>
      <c r="K283">
        <v>70</v>
      </c>
      <c r="L283">
        <v>79</v>
      </c>
      <c r="M283">
        <v>24</v>
      </c>
      <c r="N283" s="5">
        <v>50248.800000000003</v>
      </c>
      <c r="O283" t="s">
        <v>30</v>
      </c>
      <c r="P283" t="str">
        <f t="shared" si="9"/>
        <v>Hospital Provincial de Inhambane</v>
      </c>
      <c r="Q283" t="s">
        <v>37</v>
      </c>
      <c r="R283">
        <v>5</v>
      </c>
    </row>
    <row r="284" spans="1:18" x14ac:dyDescent="0.45">
      <c r="A284" t="s">
        <v>369</v>
      </c>
      <c r="B284" s="3">
        <v>44984</v>
      </c>
      <c r="C284">
        <v>66</v>
      </c>
      <c r="D284" t="s">
        <v>27</v>
      </c>
      <c r="E284">
        <v>62</v>
      </c>
      <c r="F284">
        <v>157.5</v>
      </c>
      <c r="G284" s="4">
        <f t="shared" si="8"/>
        <v>24.993701184177375</v>
      </c>
      <c r="H284" t="s">
        <v>46</v>
      </c>
      <c r="I284" t="s">
        <v>47</v>
      </c>
      <c r="J284">
        <v>133</v>
      </c>
      <c r="K284">
        <v>79</v>
      </c>
      <c r="L284">
        <v>90</v>
      </c>
      <c r="M284">
        <v>14</v>
      </c>
      <c r="N284" s="5">
        <v>37405.65</v>
      </c>
      <c r="O284" t="s">
        <v>36</v>
      </c>
      <c r="P284" t="str">
        <f t="shared" si="9"/>
        <v>Hospital Provincial de Lichinga</v>
      </c>
      <c r="Q284" t="s">
        <v>24</v>
      </c>
      <c r="R284">
        <v>5</v>
      </c>
    </row>
    <row r="285" spans="1:18" x14ac:dyDescent="0.45">
      <c r="A285" t="s">
        <v>370</v>
      </c>
      <c r="B285" s="3">
        <v>45130</v>
      </c>
      <c r="C285">
        <v>39</v>
      </c>
      <c r="D285" t="s">
        <v>27</v>
      </c>
      <c r="E285">
        <v>59.5</v>
      </c>
      <c r="F285">
        <v>140</v>
      </c>
      <c r="G285" s="4">
        <f t="shared" si="8"/>
        <v>30.357142857142861</v>
      </c>
      <c r="H285" t="s">
        <v>46</v>
      </c>
      <c r="I285" t="s">
        <v>47</v>
      </c>
      <c r="J285">
        <v>97</v>
      </c>
      <c r="K285">
        <v>61</v>
      </c>
      <c r="L285">
        <v>83</v>
      </c>
      <c r="M285">
        <v>3</v>
      </c>
      <c r="N285" s="5">
        <v>6497.09</v>
      </c>
      <c r="O285" t="s">
        <v>52</v>
      </c>
      <c r="P285" t="str">
        <f t="shared" si="9"/>
        <v>Hospital Provincial de Chimoio</v>
      </c>
      <c r="Q285" t="s">
        <v>24</v>
      </c>
      <c r="R285">
        <v>4</v>
      </c>
    </row>
    <row r="286" spans="1:18" x14ac:dyDescent="0.45">
      <c r="A286" t="s">
        <v>371</v>
      </c>
      <c r="B286" s="3">
        <v>45130</v>
      </c>
      <c r="C286">
        <v>33</v>
      </c>
      <c r="D286" t="s">
        <v>27</v>
      </c>
      <c r="E286">
        <v>62.5</v>
      </c>
      <c r="F286">
        <v>169.5</v>
      </c>
      <c r="G286" s="4">
        <f t="shared" si="8"/>
        <v>21.754074538160996</v>
      </c>
      <c r="H286" t="s">
        <v>99</v>
      </c>
      <c r="I286" t="s">
        <v>103</v>
      </c>
      <c r="J286">
        <v>111</v>
      </c>
      <c r="K286">
        <v>69</v>
      </c>
      <c r="L286">
        <v>95</v>
      </c>
      <c r="M286">
        <v>2</v>
      </c>
      <c r="N286" s="5">
        <v>6521.6</v>
      </c>
      <c r="O286" t="s">
        <v>57</v>
      </c>
      <c r="P286" t="str">
        <f t="shared" si="9"/>
        <v>Hospital Provincial de Tete</v>
      </c>
      <c r="Q286" t="s">
        <v>24</v>
      </c>
      <c r="R286">
        <v>4</v>
      </c>
    </row>
    <row r="287" spans="1:18" x14ac:dyDescent="0.45">
      <c r="A287" t="s">
        <v>372</v>
      </c>
      <c r="B287" s="3">
        <v>45085</v>
      </c>
      <c r="C287">
        <v>18</v>
      </c>
      <c r="D287" t="s">
        <v>27</v>
      </c>
      <c r="E287">
        <v>68.400000000000006</v>
      </c>
      <c r="F287">
        <v>165.2</v>
      </c>
      <c r="G287" s="4">
        <f t="shared" si="8"/>
        <v>25.063170916168829</v>
      </c>
      <c r="H287" t="s">
        <v>46</v>
      </c>
      <c r="I287" t="s">
        <v>94</v>
      </c>
      <c r="J287">
        <v>86</v>
      </c>
      <c r="K287">
        <v>55</v>
      </c>
      <c r="L287">
        <v>113</v>
      </c>
      <c r="M287">
        <v>1</v>
      </c>
      <c r="N287" s="5">
        <v>5156.6400000000003</v>
      </c>
      <c r="O287" t="s">
        <v>63</v>
      </c>
      <c r="P287" t="str">
        <f t="shared" si="9"/>
        <v>Hospital Central de Nampula</v>
      </c>
      <c r="Q287" t="s">
        <v>24</v>
      </c>
      <c r="R287">
        <v>3</v>
      </c>
    </row>
    <row r="288" spans="1:18" x14ac:dyDescent="0.45">
      <c r="A288" t="s">
        <v>373</v>
      </c>
      <c r="B288" s="3">
        <v>45498</v>
      </c>
      <c r="C288">
        <v>26</v>
      </c>
      <c r="D288" t="s">
        <v>27</v>
      </c>
      <c r="E288">
        <v>61.5</v>
      </c>
      <c r="F288">
        <v>162.80000000000001</v>
      </c>
      <c r="G288" s="4">
        <f t="shared" si="8"/>
        <v>23.204184752096296</v>
      </c>
      <c r="H288" t="s">
        <v>99</v>
      </c>
      <c r="I288" t="s">
        <v>100</v>
      </c>
      <c r="J288">
        <v>96</v>
      </c>
      <c r="K288">
        <v>66</v>
      </c>
      <c r="L288">
        <v>88</v>
      </c>
      <c r="M288">
        <v>4</v>
      </c>
      <c r="N288" s="5">
        <v>11025.5</v>
      </c>
      <c r="O288" t="s">
        <v>52</v>
      </c>
      <c r="P288" t="str">
        <f t="shared" si="9"/>
        <v>Hospital Provincial de Chimoio</v>
      </c>
      <c r="Q288" t="s">
        <v>24</v>
      </c>
      <c r="R288">
        <v>4</v>
      </c>
    </row>
    <row r="289" spans="1:18" x14ac:dyDescent="0.45">
      <c r="A289" t="s">
        <v>374</v>
      </c>
      <c r="B289" s="3">
        <v>45258</v>
      </c>
      <c r="C289">
        <v>17</v>
      </c>
      <c r="D289" t="s">
        <v>27</v>
      </c>
      <c r="E289">
        <v>70.3</v>
      </c>
      <c r="F289">
        <v>165.6</v>
      </c>
      <c r="G289" s="4">
        <f t="shared" si="8"/>
        <v>25.635078998343019</v>
      </c>
      <c r="H289" t="s">
        <v>28</v>
      </c>
      <c r="I289" t="s">
        <v>75</v>
      </c>
      <c r="J289">
        <v>109</v>
      </c>
      <c r="K289">
        <v>66</v>
      </c>
      <c r="L289">
        <v>101</v>
      </c>
      <c r="M289">
        <v>1</v>
      </c>
      <c r="N289" s="5">
        <v>3479.54</v>
      </c>
      <c r="O289" t="s">
        <v>30</v>
      </c>
      <c r="P289" t="str">
        <f t="shared" si="9"/>
        <v>Hospital Provincial de Inhambane</v>
      </c>
      <c r="Q289" t="s">
        <v>24</v>
      </c>
      <c r="R289">
        <v>1</v>
      </c>
    </row>
    <row r="290" spans="1:18" x14ac:dyDescent="0.45">
      <c r="A290" t="s">
        <v>375</v>
      </c>
      <c r="B290" s="3">
        <v>45299</v>
      </c>
      <c r="C290">
        <v>78</v>
      </c>
      <c r="D290" t="s">
        <v>20</v>
      </c>
      <c r="E290">
        <v>70.7</v>
      </c>
      <c r="F290">
        <v>172.1</v>
      </c>
      <c r="G290" s="4">
        <f t="shared" si="8"/>
        <v>23.870288783226382</v>
      </c>
      <c r="H290" t="s">
        <v>91</v>
      </c>
      <c r="I290" t="s">
        <v>131</v>
      </c>
      <c r="J290">
        <v>148</v>
      </c>
      <c r="K290">
        <v>92</v>
      </c>
      <c r="L290">
        <v>83</v>
      </c>
      <c r="M290">
        <v>1</v>
      </c>
      <c r="N290" s="5">
        <v>3440.82</v>
      </c>
      <c r="O290" t="s">
        <v>23</v>
      </c>
      <c r="P290" t="str">
        <f t="shared" si="9"/>
        <v>Hospital Central de Maputo</v>
      </c>
      <c r="Q290" t="s">
        <v>24</v>
      </c>
      <c r="R290">
        <v>2</v>
      </c>
    </row>
    <row r="291" spans="1:18" x14ac:dyDescent="0.45">
      <c r="A291" t="s">
        <v>376</v>
      </c>
      <c r="B291" s="3">
        <v>45059</v>
      </c>
      <c r="C291">
        <v>29</v>
      </c>
      <c r="D291" t="s">
        <v>27</v>
      </c>
      <c r="E291">
        <v>80.900000000000006</v>
      </c>
      <c r="F291">
        <v>172.9</v>
      </c>
      <c r="G291" s="4">
        <f t="shared" si="8"/>
        <v>27.061915588901069</v>
      </c>
      <c r="H291" t="s">
        <v>99</v>
      </c>
      <c r="I291" t="s">
        <v>105</v>
      </c>
      <c r="J291">
        <v>115</v>
      </c>
      <c r="K291">
        <v>65</v>
      </c>
      <c r="L291">
        <v>102</v>
      </c>
      <c r="M291">
        <v>3</v>
      </c>
      <c r="N291" s="5">
        <v>7525.24</v>
      </c>
      <c r="O291" t="s">
        <v>31</v>
      </c>
      <c r="P291" t="str">
        <f t="shared" si="9"/>
        <v>Hospital Provincial da Matola</v>
      </c>
      <c r="Q291" t="s">
        <v>24</v>
      </c>
      <c r="R291">
        <v>1</v>
      </c>
    </row>
    <row r="292" spans="1:18" x14ac:dyDescent="0.45">
      <c r="A292" t="s">
        <v>377</v>
      </c>
      <c r="B292" s="3">
        <v>45140</v>
      </c>
      <c r="C292">
        <v>47</v>
      </c>
      <c r="D292" t="s">
        <v>27</v>
      </c>
      <c r="E292">
        <v>51.3</v>
      </c>
      <c r="F292">
        <v>154.19999999999999</v>
      </c>
      <c r="G292" s="4">
        <f t="shared" si="8"/>
        <v>21.574891368529428</v>
      </c>
      <c r="H292" t="s">
        <v>34</v>
      </c>
      <c r="I292" t="s">
        <v>128</v>
      </c>
      <c r="J292">
        <v>133</v>
      </c>
      <c r="K292">
        <v>91</v>
      </c>
      <c r="L292">
        <v>69</v>
      </c>
      <c r="M292">
        <v>6</v>
      </c>
      <c r="N292" s="5">
        <v>8717.0300000000007</v>
      </c>
      <c r="O292" t="s">
        <v>52</v>
      </c>
      <c r="P292" t="str">
        <f t="shared" si="9"/>
        <v>Hospital Provincial de Chimoio</v>
      </c>
      <c r="Q292" t="s">
        <v>24</v>
      </c>
      <c r="R292">
        <v>5</v>
      </c>
    </row>
    <row r="293" spans="1:18" x14ac:dyDescent="0.45">
      <c r="A293" t="s">
        <v>378</v>
      </c>
      <c r="B293" s="3">
        <v>45006</v>
      </c>
      <c r="C293">
        <v>60</v>
      </c>
      <c r="D293" t="s">
        <v>20</v>
      </c>
      <c r="E293">
        <v>69.400000000000006</v>
      </c>
      <c r="F293">
        <v>171.3</v>
      </c>
      <c r="G293" s="4">
        <f t="shared" si="8"/>
        <v>23.650740585113869</v>
      </c>
      <c r="H293" t="s">
        <v>34</v>
      </c>
      <c r="I293" t="s">
        <v>35</v>
      </c>
      <c r="J293">
        <v>137</v>
      </c>
      <c r="K293">
        <v>85</v>
      </c>
      <c r="L293">
        <v>117</v>
      </c>
      <c r="M293">
        <v>1</v>
      </c>
      <c r="N293" s="5">
        <v>4510.22</v>
      </c>
      <c r="O293" t="s">
        <v>23</v>
      </c>
      <c r="P293" t="str">
        <f t="shared" si="9"/>
        <v>Hospital Central de Maputo</v>
      </c>
      <c r="Q293" t="s">
        <v>24</v>
      </c>
      <c r="R293">
        <v>4</v>
      </c>
    </row>
    <row r="294" spans="1:18" x14ac:dyDescent="0.45">
      <c r="A294" t="s">
        <v>379</v>
      </c>
      <c r="B294" s="3">
        <v>45396</v>
      </c>
      <c r="C294">
        <v>29</v>
      </c>
      <c r="D294" t="s">
        <v>27</v>
      </c>
      <c r="E294">
        <v>46.4</v>
      </c>
      <c r="F294">
        <v>167.9</v>
      </c>
      <c r="G294" s="4">
        <f t="shared" si="8"/>
        <v>16.459498105916158</v>
      </c>
      <c r="H294" t="s">
        <v>99</v>
      </c>
      <c r="I294" t="s">
        <v>100</v>
      </c>
      <c r="J294">
        <v>111</v>
      </c>
      <c r="K294">
        <v>60</v>
      </c>
      <c r="L294">
        <v>83</v>
      </c>
      <c r="M294">
        <v>10</v>
      </c>
      <c r="N294" s="5">
        <v>32062.41</v>
      </c>
      <c r="O294" t="s">
        <v>36</v>
      </c>
      <c r="P294" t="str">
        <f t="shared" si="9"/>
        <v>Hospital Provincial de Lichinga</v>
      </c>
      <c r="Q294" t="s">
        <v>37</v>
      </c>
      <c r="R294">
        <v>4</v>
      </c>
    </row>
    <row r="295" spans="1:18" x14ac:dyDescent="0.45">
      <c r="A295" t="s">
        <v>380</v>
      </c>
      <c r="B295" s="3">
        <v>45575</v>
      </c>
      <c r="C295">
        <v>24</v>
      </c>
      <c r="D295" t="s">
        <v>27</v>
      </c>
      <c r="E295">
        <v>53.3</v>
      </c>
      <c r="F295">
        <v>169</v>
      </c>
      <c r="G295" s="4">
        <f t="shared" si="8"/>
        <v>18.661811561219846</v>
      </c>
      <c r="H295" t="s">
        <v>99</v>
      </c>
      <c r="I295" t="s">
        <v>103</v>
      </c>
      <c r="J295">
        <v>120</v>
      </c>
      <c r="K295">
        <v>74</v>
      </c>
      <c r="L295">
        <v>71</v>
      </c>
      <c r="M295">
        <v>2</v>
      </c>
      <c r="N295" s="5">
        <v>6815.8</v>
      </c>
      <c r="O295" t="s">
        <v>23</v>
      </c>
      <c r="P295" t="str">
        <f t="shared" si="9"/>
        <v>Hospital Central de Maputo</v>
      </c>
      <c r="Q295" t="s">
        <v>24</v>
      </c>
      <c r="R295">
        <v>1</v>
      </c>
    </row>
    <row r="296" spans="1:18" x14ac:dyDescent="0.45">
      <c r="A296" t="s">
        <v>381</v>
      </c>
      <c r="B296" s="3">
        <v>45065</v>
      </c>
      <c r="C296">
        <v>49</v>
      </c>
      <c r="D296" t="s">
        <v>27</v>
      </c>
      <c r="E296">
        <v>86.1</v>
      </c>
      <c r="F296">
        <v>162.4</v>
      </c>
      <c r="G296" s="4">
        <f t="shared" si="8"/>
        <v>32.646084593171388</v>
      </c>
      <c r="H296" t="s">
        <v>21</v>
      </c>
      <c r="I296" t="s">
        <v>123</v>
      </c>
      <c r="J296">
        <v>122</v>
      </c>
      <c r="K296">
        <v>73</v>
      </c>
      <c r="L296">
        <v>77</v>
      </c>
      <c r="M296">
        <v>3</v>
      </c>
      <c r="N296" s="5">
        <v>10008.99</v>
      </c>
      <c r="O296" t="s">
        <v>31</v>
      </c>
      <c r="P296" t="str">
        <f t="shared" si="9"/>
        <v>Hospital Provincial da Matola</v>
      </c>
      <c r="Q296" t="s">
        <v>24</v>
      </c>
      <c r="R296">
        <v>4</v>
      </c>
    </row>
    <row r="297" spans="1:18" x14ac:dyDescent="0.45">
      <c r="A297" t="s">
        <v>382</v>
      </c>
      <c r="B297" s="3">
        <v>45068</v>
      </c>
      <c r="C297">
        <v>27</v>
      </c>
      <c r="D297" t="s">
        <v>27</v>
      </c>
      <c r="E297">
        <v>74.2</v>
      </c>
      <c r="F297">
        <v>159.80000000000001</v>
      </c>
      <c r="G297" s="4">
        <f t="shared" si="8"/>
        <v>29.056972028552583</v>
      </c>
      <c r="H297" t="s">
        <v>91</v>
      </c>
      <c r="I297" t="s">
        <v>116</v>
      </c>
      <c r="J297">
        <v>117</v>
      </c>
      <c r="K297">
        <v>81</v>
      </c>
      <c r="L297">
        <v>74</v>
      </c>
      <c r="M297">
        <v>5</v>
      </c>
      <c r="N297" s="5">
        <v>14754.4</v>
      </c>
      <c r="O297" t="s">
        <v>63</v>
      </c>
      <c r="P297" t="str">
        <f t="shared" si="9"/>
        <v>Hospital Central de Nampula</v>
      </c>
      <c r="Q297" t="s">
        <v>24</v>
      </c>
      <c r="R297">
        <v>4</v>
      </c>
    </row>
    <row r="298" spans="1:18" x14ac:dyDescent="0.45">
      <c r="A298" t="s">
        <v>383</v>
      </c>
      <c r="B298" s="3">
        <v>45024</v>
      </c>
      <c r="C298">
        <v>43</v>
      </c>
      <c r="D298" t="s">
        <v>27</v>
      </c>
      <c r="E298">
        <v>73.5</v>
      </c>
      <c r="F298">
        <v>154.80000000000001</v>
      </c>
      <c r="G298" s="4">
        <f t="shared" si="8"/>
        <v>30.672235242273096</v>
      </c>
      <c r="H298" t="s">
        <v>21</v>
      </c>
      <c r="I298" t="s">
        <v>22</v>
      </c>
      <c r="J298">
        <v>137</v>
      </c>
      <c r="K298">
        <v>89</v>
      </c>
      <c r="L298">
        <v>77</v>
      </c>
      <c r="M298">
        <v>10</v>
      </c>
      <c r="N298" s="5">
        <v>14760.64</v>
      </c>
      <c r="O298" t="s">
        <v>51</v>
      </c>
      <c r="P298" t="str">
        <f t="shared" si="9"/>
        <v>Hospital Central de Quelimane</v>
      </c>
      <c r="Q298" t="s">
        <v>37</v>
      </c>
      <c r="R298">
        <v>5</v>
      </c>
    </row>
    <row r="299" spans="1:18" x14ac:dyDescent="0.45">
      <c r="A299" t="s">
        <v>384</v>
      </c>
      <c r="B299" s="3">
        <v>45576</v>
      </c>
      <c r="C299">
        <v>23</v>
      </c>
      <c r="D299" t="s">
        <v>27</v>
      </c>
      <c r="E299">
        <v>55.4</v>
      </c>
      <c r="F299">
        <v>161.80000000000001</v>
      </c>
      <c r="G299" s="4">
        <f t="shared" si="8"/>
        <v>21.161806072292393</v>
      </c>
      <c r="H299" t="s">
        <v>21</v>
      </c>
      <c r="I299" t="s">
        <v>70</v>
      </c>
      <c r="J299">
        <v>125</v>
      </c>
      <c r="K299">
        <v>82</v>
      </c>
      <c r="L299">
        <v>120</v>
      </c>
      <c r="M299">
        <v>23</v>
      </c>
      <c r="N299" s="5">
        <v>75001.83</v>
      </c>
      <c r="O299" t="s">
        <v>57</v>
      </c>
      <c r="P299" t="str">
        <f t="shared" si="9"/>
        <v>Hospital Provincial de Tete</v>
      </c>
      <c r="Q299" t="s">
        <v>24</v>
      </c>
      <c r="R299">
        <v>4</v>
      </c>
    </row>
    <row r="300" spans="1:18" x14ac:dyDescent="0.45">
      <c r="A300" t="s">
        <v>385</v>
      </c>
      <c r="B300" s="3">
        <v>45330</v>
      </c>
      <c r="C300">
        <v>2</v>
      </c>
      <c r="D300" t="s">
        <v>20</v>
      </c>
      <c r="E300">
        <v>22.6</v>
      </c>
      <c r="F300">
        <v>98.1</v>
      </c>
      <c r="G300" s="4">
        <f t="shared" si="8"/>
        <v>23.483910923239826</v>
      </c>
      <c r="H300" t="s">
        <v>28</v>
      </c>
      <c r="I300" t="s">
        <v>73</v>
      </c>
      <c r="J300">
        <v>96</v>
      </c>
      <c r="K300">
        <v>61</v>
      </c>
      <c r="L300">
        <v>65</v>
      </c>
      <c r="M300">
        <v>1</v>
      </c>
      <c r="N300" s="5">
        <v>3544.02</v>
      </c>
      <c r="O300" t="s">
        <v>43</v>
      </c>
      <c r="P300" t="str">
        <f t="shared" si="9"/>
        <v>Hospital Central da Beira</v>
      </c>
      <c r="Q300" t="s">
        <v>24</v>
      </c>
      <c r="R300">
        <v>3</v>
      </c>
    </row>
    <row r="301" spans="1:18" x14ac:dyDescent="0.45">
      <c r="A301" t="s">
        <v>386</v>
      </c>
      <c r="B301" s="3">
        <v>45557</v>
      </c>
      <c r="C301">
        <v>8</v>
      </c>
      <c r="D301" t="s">
        <v>20</v>
      </c>
      <c r="E301">
        <v>13.9</v>
      </c>
      <c r="F301">
        <v>104.5</v>
      </c>
      <c r="G301" s="4">
        <f t="shared" si="8"/>
        <v>12.728646322199586</v>
      </c>
      <c r="H301" t="s">
        <v>28</v>
      </c>
      <c r="I301" t="s">
        <v>73</v>
      </c>
      <c r="J301">
        <v>127</v>
      </c>
      <c r="K301">
        <v>86</v>
      </c>
      <c r="L301">
        <v>101</v>
      </c>
      <c r="M301">
        <v>2</v>
      </c>
      <c r="N301" s="5">
        <v>4996.51</v>
      </c>
      <c r="O301" t="s">
        <v>57</v>
      </c>
      <c r="P301" t="str">
        <f t="shared" si="9"/>
        <v>Hospital Provincial de Tete</v>
      </c>
      <c r="Q301" t="s">
        <v>24</v>
      </c>
      <c r="R301">
        <v>4</v>
      </c>
    </row>
    <row r="302" spans="1:18" x14ac:dyDescent="0.45">
      <c r="A302" t="s">
        <v>387</v>
      </c>
      <c r="B302" s="3">
        <v>45285</v>
      </c>
      <c r="C302">
        <v>18</v>
      </c>
      <c r="D302" t="s">
        <v>27</v>
      </c>
      <c r="E302">
        <v>67.599999999999994</v>
      </c>
      <c r="F302">
        <v>170.5</v>
      </c>
      <c r="G302" s="4">
        <f t="shared" si="8"/>
        <v>23.254013983367869</v>
      </c>
      <c r="H302" t="s">
        <v>46</v>
      </c>
      <c r="I302" t="s">
        <v>94</v>
      </c>
      <c r="J302">
        <v>118</v>
      </c>
      <c r="K302">
        <v>73</v>
      </c>
      <c r="L302">
        <v>65</v>
      </c>
      <c r="M302">
        <v>1</v>
      </c>
      <c r="N302" s="5">
        <v>4567.1499999999996</v>
      </c>
      <c r="O302" t="s">
        <v>67</v>
      </c>
      <c r="P302" t="str">
        <f t="shared" si="9"/>
        <v>Hospital Provincial de Pemba</v>
      </c>
      <c r="Q302" t="s">
        <v>37</v>
      </c>
      <c r="R302">
        <v>5</v>
      </c>
    </row>
    <row r="303" spans="1:18" x14ac:dyDescent="0.45">
      <c r="A303" t="s">
        <v>388</v>
      </c>
      <c r="B303" s="3">
        <v>44941</v>
      </c>
      <c r="C303">
        <v>52</v>
      </c>
      <c r="D303" t="s">
        <v>27</v>
      </c>
      <c r="E303">
        <v>54.3</v>
      </c>
      <c r="F303">
        <v>169.3</v>
      </c>
      <c r="G303" s="4">
        <f t="shared" si="8"/>
        <v>18.944620652288059</v>
      </c>
      <c r="H303" t="s">
        <v>46</v>
      </c>
      <c r="I303" t="s">
        <v>47</v>
      </c>
      <c r="J303">
        <v>137</v>
      </c>
      <c r="K303">
        <v>86</v>
      </c>
      <c r="L303">
        <v>113</v>
      </c>
      <c r="M303">
        <v>5</v>
      </c>
      <c r="N303" s="5">
        <v>13342.63</v>
      </c>
      <c r="O303" t="s">
        <v>36</v>
      </c>
      <c r="P303" t="str">
        <f t="shared" si="9"/>
        <v>Hospital Provincial de Lichinga</v>
      </c>
      <c r="Q303" t="s">
        <v>24</v>
      </c>
      <c r="R303">
        <v>4</v>
      </c>
    </row>
    <row r="304" spans="1:18" x14ac:dyDescent="0.45">
      <c r="A304" t="s">
        <v>389</v>
      </c>
      <c r="B304" s="3">
        <v>45312</v>
      </c>
      <c r="C304">
        <v>1</v>
      </c>
      <c r="D304" t="s">
        <v>20</v>
      </c>
      <c r="E304">
        <v>38.700000000000003</v>
      </c>
      <c r="F304">
        <v>116.3</v>
      </c>
      <c r="G304" s="4">
        <f t="shared" si="8"/>
        <v>28.612218674241387</v>
      </c>
      <c r="H304" t="s">
        <v>28</v>
      </c>
      <c r="I304" t="s">
        <v>50</v>
      </c>
      <c r="J304">
        <v>98</v>
      </c>
      <c r="K304">
        <v>67</v>
      </c>
      <c r="L304">
        <v>92</v>
      </c>
      <c r="M304">
        <v>4</v>
      </c>
      <c r="N304" s="5">
        <v>13129.32</v>
      </c>
      <c r="O304" t="s">
        <v>30</v>
      </c>
      <c r="P304" t="str">
        <f t="shared" si="9"/>
        <v>Hospital Provincial de Inhambane</v>
      </c>
      <c r="Q304" t="s">
        <v>24</v>
      </c>
      <c r="R304">
        <v>3</v>
      </c>
    </row>
    <row r="305" spans="1:18" x14ac:dyDescent="0.45">
      <c r="A305" t="s">
        <v>390</v>
      </c>
      <c r="B305" s="3">
        <v>45591</v>
      </c>
      <c r="C305">
        <v>12</v>
      </c>
      <c r="D305" t="s">
        <v>27</v>
      </c>
      <c r="E305">
        <v>75.400000000000006</v>
      </c>
      <c r="F305">
        <v>161.9</v>
      </c>
      <c r="G305" s="4">
        <f t="shared" si="8"/>
        <v>28.765878936852797</v>
      </c>
      <c r="H305" t="s">
        <v>28</v>
      </c>
      <c r="I305" t="s">
        <v>29</v>
      </c>
      <c r="J305">
        <v>96</v>
      </c>
      <c r="K305">
        <v>57</v>
      </c>
      <c r="L305">
        <v>82</v>
      </c>
      <c r="M305">
        <v>1</v>
      </c>
      <c r="N305" s="5">
        <v>5461.75</v>
      </c>
      <c r="O305" t="s">
        <v>51</v>
      </c>
      <c r="P305" t="str">
        <f t="shared" si="9"/>
        <v>Hospital Central de Quelimane</v>
      </c>
      <c r="Q305" t="s">
        <v>24</v>
      </c>
      <c r="R305">
        <v>5</v>
      </c>
    </row>
    <row r="306" spans="1:18" x14ac:dyDescent="0.45">
      <c r="A306" t="s">
        <v>391</v>
      </c>
      <c r="B306" s="3">
        <v>45239</v>
      </c>
      <c r="C306">
        <v>37</v>
      </c>
      <c r="D306" t="s">
        <v>27</v>
      </c>
      <c r="E306">
        <v>57.7</v>
      </c>
      <c r="F306">
        <v>161.30000000000001</v>
      </c>
      <c r="G306" s="4">
        <f t="shared" si="8"/>
        <v>22.177218653923536</v>
      </c>
      <c r="H306" t="s">
        <v>41</v>
      </c>
      <c r="I306" t="s">
        <v>42</v>
      </c>
      <c r="J306">
        <v>122</v>
      </c>
      <c r="K306">
        <v>92</v>
      </c>
      <c r="L306">
        <v>88</v>
      </c>
      <c r="M306">
        <v>1</v>
      </c>
      <c r="N306" s="5">
        <v>2441.4299999999998</v>
      </c>
      <c r="O306" t="s">
        <v>30</v>
      </c>
      <c r="P306" t="str">
        <f t="shared" si="9"/>
        <v>Hospital Provincial de Inhambane</v>
      </c>
      <c r="Q306" t="s">
        <v>76</v>
      </c>
      <c r="R306">
        <v>5</v>
      </c>
    </row>
    <row r="307" spans="1:18" x14ac:dyDescent="0.45">
      <c r="A307" t="s">
        <v>392</v>
      </c>
      <c r="B307" s="3">
        <v>45495</v>
      </c>
      <c r="C307">
        <v>10</v>
      </c>
      <c r="D307" t="s">
        <v>27</v>
      </c>
      <c r="E307">
        <v>20.399999999999999</v>
      </c>
      <c r="F307">
        <v>99.3</v>
      </c>
      <c r="G307" s="4">
        <f t="shared" si="8"/>
        <v>20.688627035776111</v>
      </c>
      <c r="H307" t="s">
        <v>28</v>
      </c>
      <c r="I307" t="s">
        <v>73</v>
      </c>
      <c r="J307">
        <v>85</v>
      </c>
      <c r="K307">
        <v>62</v>
      </c>
      <c r="L307">
        <v>67</v>
      </c>
      <c r="M307">
        <v>1</v>
      </c>
      <c r="N307" s="5">
        <v>2526.35</v>
      </c>
      <c r="O307" t="s">
        <v>36</v>
      </c>
      <c r="P307" t="str">
        <f t="shared" si="9"/>
        <v>Hospital Provincial de Lichinga</v>
      </c>
      <c r="Q307" t="s">
        <v>37</v>
      </c>
      <c r="R307">
        <v>4</v>
      </c>
    </row>
    <row r="308" spans="1:18" x14ac:dyDescent="0.45">
      <c r="A308" t="s">
        <v>393</v>
      </c>
      <c r="B308" s="3">
        <v>45482</v>
      </c>
      <c r="C308">
        <v>4</v>
      </c>
      <c r="D308" t="s">
        <v>20</v>
      </c>
      <c r="E308">
        <v>29.6</v>
      </c>
      <c r="F308">
        <v>83.2</v>
      </c>
      <c r="G308" s="4">
        <f t="shared" si="8"/>
        <v>42.760724852071</v>
      </c>
      <c r="H308" t="s">
        <v>28</v>
      </c>
      <c r="I308" t="s">
        <v>75</v>
      </c>
      <c r="J308">
        <v>93</v>
      </c>
      <c r="K308">
        <v>55</v>
      </c>
      <c r="L308">
        <v>65</v>
      </c>
      <c r="M308">
        <v>1</v>
      </c>
      <c r="N308" s="5">
        <v>6814.99</v>
      </c>
      <c r="O308" t="s">
        <v>23</v>
      </c>
      <c r="P308" t="str">
        <f t="shared" si="9"/>
        <v>Hospital Central de Maputo</v>
      </c>
      <c r="Q308" t="s">
        <v>202</v>
      </c>
      <c r="R308">
        <v>5</v>
      </c>
    </row>
    <row r="309" spans="1:18" x14ac:dyDescent="0.45">
      <c r="A309" t="s">
        <v>394</v>
      </c>
      <c r="B309" s="3">
        <v>45252</v>
      </c>
      <c r="C309">
        <v>46</v>
      </c>
      <c r="D309" t="s">
        <v>20</v>
      </c>
      <c r="E309">
        <v>67.599999999999994</v>
      </c>
      <c r="F309">
        <v>161.6</v>
      </c>
      <c r="G309" s="4">
        <f t="shared" si="8"/>
        <v>25.885942554651507</v>
      </c>
      <c r="H309" t="s">
        <v>55</v>
      </c>
      <c r="I309" t="s">
        <v>62</v>
      </c>
      <c r="J309">
        <v>112</v>
      </c>
      <c r="K309">
        <v>74</v>
      </c>
      <c r="L309">
        <v>93</v>
      </c>
      <c r="M309">
        <v>14</v>
      </c>
      <c r="N309" s="5">
        <v>46590.9</v>
      </c>
      <c r="O309" t="s">
        <v>51</v>
      </c>
      <c r="P309" t="str">
        <f t="shared" si="9"/>
        <v>Hospital Central de Quelimane</v>
      </c>
      <c r="Q309" t="s">
        <v>37</v>
      </c>
      <c r="R309">
        <v>4</v>
      </c>
    </row>
    <row r="310" spans="1:18" x14ac:dyDescent="0.45">
      <c r="A310" t="s">
        <v>395</v>
      </c>
      <c r="B310" s="3">
        <v>45207</v>
      </c>
      <c r="C310">
        <v>46</v>
      </c>
      <c r="D310" t="s">
        <v>20</v>
      </c>
      <c r="E310">
        <v>51</v>
      </c>
      <c r="F310">
        <v>166.6</v>
      </c>
      <c r="G310" s="4">
        <f t="shared" si="8"/>
        <v>18.37469681750251</v>
      </c>
      <c r="H310" t="s">
        <v>46</v>
      </c>
      <c r="I310" t="s">
        <v>108</v>
      </c>
      <c r="J310">
        <v>108</v>
      </c>
      <c r="K310">
        <v>63</v>
      </c>
      <c r="L310">
        <v>83</v>
      </c>
      <c r="M310">
        <v>1</v>
      </c>
      <c r="N310" s="5">
        <v>4100.25</v>
      </c>
      <c r="O310" t="s">
        <v>23</v>
      </c>
      <c r="P310" t="str">
        <f t="shared" si="9"/>
        <v>Hospital Central de Maputo</v>
      </c>
      <c r="Q310" t="s">
        <v>37</v>
      </c>
      <c r="R310">
        <v>4</v>
      </c>
    </row>
    <row r="311" spans="1:18" x14ac:dyDescent="0.45">
      <c r="A311" t="s">
        <v>396</v>
      </c>
      <c r="B311" s="3">
        <v>45592</v>
      </c>
      <c r="C311">
        <v>12</v>
      </c>
      <c r="D311" t="s">
        <v>27</v>
      </c>
      <c r="E311">
        <v>65.2</v>
      </c>
      <c r="F311">
        <v>157.69999999999999</v>
      </c>
      <c r="G311" s="4">
        <f t="shared" si="8"/>
        <v>26.217073346283712</v>
      </c>
      <c r="H311" t="s">
        <v>28</v>
      </c>
      <c r="I311" t="s">
        <v>73</v>
      </c>
      <c r="J311">
        <v>106</v>
      </c>
      <c r="K311">
        <v>71</v>
      </c>
      <c r="L311">
        <v>127</v>
      </c>
      <c r="M311">
        <v>11</v>
      </c>
      <c r="N311" s="5">
        <v>18211.77</v>
      </c>
      <c r="O311" t="s">
        <v>31</v>
      </c>
      <c r="P311" t="str">
        <f t="shared" si="9"/>
        <v>Hospital Provincial da Matola</v>
      </c>
      <c r="Q311" t="s">
        <v>24</v>
      </c>
      <c r="R311">
        <v>3</v>
      </c>
    </row>
    <row r="312" spans="1:18" x14ac:dyDescent="0.45">
      <c r="A312" t="s">
        <v>397</v>
      </c>
      <c r="B312" s="3">
        <v>45376</v>
      </c>
      <c r="C312">
        <v>30</v>
      </c>
      <c r="D312" t="s">
        <v>27</v>
      </c>
      <c r="E312">
        <v>55.8</v>
      </c>
      <c r="F312">
        <v>170.2</v>
      </c>
      <c r="G312" s="4">
        <f t="shared" si="8"/>
        <v>19.262608032852757</v>
      </c>
      <c r="H312" t="s">
        <v>46</v>
      </c>
      <c r="I312" t="s">
        <v>66</v>
      </c>
      <c r="J312">
        <v>114</v>
      </c>
      <c r="K312">
        <v>62</v>
      </c>
      <c r="L312">
        <v>101</v>
      </c>
      <c r="M312">
        <v>2</v>
      </c>
      <c r="N312" s="5">
        <v>8493.0400000000009</v>
      </c>
      <c r="O312" t="s">
        <v>52</v>
      </c>
      <c r="P312" t="str">
        <f t="shared" si="9"/>
        <v>Hospital Provincial de Chimoio</v>
      </c>
      <c r="Q312" t="s">
        <v>24</v>
      </c>
      <c r="R312">
        <v>5</v>
      </c>
    </row>
    <row r="313" spans="1:18" x14ac:dyDescent="0.45">
      <c r="A313" t="s">
        <v>398</v>
      </c>
      <c r="B313" s="3">
        <v>44966</v>
      </c>
      <c r="C313">
        <v>18</v>
      </c>
      <c r="D313" t="s">
        <v>20</v>
      </c>
      <c r="E313">
        <v>57.7</v>
      </c>
      <c r="F313">
        <v>167.9</v>
      </c>
      <c r="G313" s="4">
        <f t="shared" si="8"/>
        <v>20.46795346360695</v>
      </c>
      <c r="H313" t="s">
        <v>41</v>
      </c>
      <c r="I313" t="s">
        <v>217</v>
      </c>
      <c r="J313">
        <v>85</v>
      </c>
      <c r="K313">
        <v>55</v>
      </c>
      <c r="L313">
        <v>105</v>
      </c>
      <c r="M313">
        <v>5</v>
      </c>
      <c r="N313" s="5">
        <v>16758.349999999999</v>
      </c>
      <c r="O313" t="s">
        <v>43</v>
      </c>
      <c r="P313" t="str">
        <f t="shared" si="9"/>
        <v>Hospital Central da Beira</v>
      </c>
      <c r="Q313" t="s">
        <v>37</v>
      </c>
      <c r="R313">
        <v>5</v>
      </c>
    </row>
    <row r="314" spans="1:18" x14ac:dyDescent="0.45">
      <c r="A314" t="s">
        <v>399</v>
      </c>
      <c r="B314" s="3">
        <v>45219</v>
      </c>
      <c r="C314">
        <v>9</v>
      </c>
      <c r="D314" t="s">
        <v>27</v>
      </c>
      <c r="E314">
        <v>16</v>
      </c>
      <c r="F314">
        <v>110.8</v>
      </c>
      <c r="G314" s="4">
        <f t="shared" si="8"/>
        <v>13.032881961188082</v>
      </c>
      <c r="H314" t="s">
        <v>28</v>
      </c>
      <c r="I314" t="s">
        <v>29</v>
      </c>
      <c r="J314">
        <v>85</v>
      </c>
      <c r="K314">
        <v>55</v>
      </c>
      <c r="L314">
        <v>92</v>
      </c>
      <c r="M314">
        <v>1</v>
      </c>
      <c r="N314" s="5">
        <v>3208.8</v>
      </c>
      <c r="O314" t="s">
        <v>57</v>
      </c>
      <c r="P314" t="str">
        <f t="shared" si="9"/>
        <v>Hospital Provincial de Tete</v>
      </c>
      <c r="Q314" t="s">
        <v>37</v>
      </c>
      <c r="R314">
        <v>4</v>
      </c>
    </row>
    <row r="315" spans="1:18" x14ac:dyDescent="0.45">
      <c r="A315" t="s">
        <v>400</v>
      </c>
      <c r="B315" s="3">
        <v>45329</v>
      </c>
      <c r="C315">
        <v>56</v>
      </c>
      <c r="D315" t="s">
        <v>27</v>
      </c>
      <c r="E315">
        <v>67.900000000000006</v>
      </c>
      <c r="F315">
        <v>164.5</v>
      </c>
      <c r="G315" s="4">
        <f t="shared" si="8"/>
        <v>25.092155467891097</v>
      </c>
      <c r="H315" t="s">
        <v>91</v>
      </c>
      <c r="I315" t="s">
        <v>110</v>
      </c>
      <c r="J315">
        <v>118</v>
      </c>
      <c r="K315">
        <v>69</v>
      </c>
      <c r="L315">
        <v>114</v>
      </c>
      <c r="M315">
        <v>4</v>
      </c>
      <c r="N315" s="5">
        <v>7981.86</v>
      </c>
      <c r="O315" t="s">
        <v>23</v>
      </c>
      <c r="P315" t="str">
        <f t="shared" si="9"/>
        <v>Hospital Central de Maputo</v>
      </c>
      <c r="Q315" t="s">
        <v>24</v>
      </c>
      <c r="R315">
        <v>4</v>
      </c>
    </row>
    <row r="316" spans="1:18" x14ac:dyDescent="0.45">
      <c r="A316" t="s">
        <v>401</v>
      </c>
      <c r="B316" s="3">
        <v>45014</v>
      </c>
      <c r="C316">
        <v>61</v>
      </c>
      <c r="D316" t="s">
        <v>27</v>
      </c>
      <c r="E316">
        <v>55.5</v>
      </c>
      <c r="F316">
        <v>161.1</v>
      </c>
      <c r="G316" s="4">
        <f t="shared" si="8"/>
        <v>21.38463796963844</v>
      </c>
      <c r="H316" t="s">
        <v>46</v>
      </c>
      <c r="I316" t="s">
        <v>94</v>
      </c>
      <c r="J316">
        <v>132</v>
      </c>
      <c r="K316">
        <v>83</v>
      </c>
      <c r="L316">
        <v>65</v>
      </c>
      <c r="M316">
        <v>3</v>
      </c>
      <c r="N316" s="5">
        <v>8316.0400000000009</v>
      </c>
      <c r="O316" t="s">
        <v>63</v>
      </c>
      <c r="P316" t="str">
        <f t="shared" si="9"/>
        <v>Hospital Central de Nampula</v>
      </c>
      <c r="Q316" t="s">
        <v>24</v>
      </c>
      <c r="R316">
        <v>5</v>
      </c>
    </row>
    <row r="317" spans="1:18" x14ac:dyDescent="0.45">
      <c r="A317" t="s">
        <v>402</v>
      </c>
      <c r="B317" s="3">
        <v>45356</v>
      </c>
      <c r="C317">
        <v>40</v>
      </c>
      <c r="D317" t="s">
        <v>27</v>
      </c>
      <c r="E317">
        <v>68.7</v>
      </c>
      <c r="F317">
        <v>153.30000000000001</v>
      </c>
      <c r="G317" s="4">
        <f t="shared" si="8"/>
        <v>29.232935433509109</v>
      </c>
      <c r="H317" t="s">
        <v>91</v>
      </c>
      <c r="I317" t="s">
        <v>110</v>
      </c>
      <c r="J317">
        <v>120</v>
      </c>
      <c r="K317">
        <v>76</v>
      </c>
      <c r="L317">
        <v>114</v>
      </c>
      <c r="M317">
        <v>1</v>
      </c>
      <c r="N317" s="5">
        <v>5206.6499999999996</v>
      </c>
      <c r="O317" t="s">
        <v>52</v>
      </c>
      <c r="P317" t="str">
        <f t="shared" si="9"/>
        <v>Hospital Provincial de Chimoio</v>
      </c>
      <c r="Q317" t="s">
        <v>24</v>
      </c>
      <c r="R317">
        <v>5</v>
      </c>
    </row>
    <row r="318" spans="1:18" x14ac:dyDescent="0.45">
      <c r="A318" t="s">
        <v>403</v>
      </c>
      <c r="B318" s="3">
        <v>45170</v>
      </c>
      <c r="C318">
        <v>20</v>
      </c>
      <c r="D318" t="s">
        <v>20</v>
      </c>
      <c r="E318">
        <v>62.9</v>
      </c>
      <c r="F318">
        <v>164.4</v>
      </c>
      <c r="G318" s="4">
        <f t="shared" si="8"/>
        <v>23.272713280172386</v>
      </c>
      <c r="H318" t="s">
        <v>55</v>
      </c>
      <c r="I318" t="s">
        <v>80</v>
      </c>
      <c r="J318">
        <v>107</v>
      </c>
      <c r="K318">
        <v>69</v>
      </c>
      <c r="L318">
        <v>78</v>
      </c>
      <c r="M318">
        <v>3</v>
      </c>
      <c r="N318" s="5">
        <v>11102.51</v>
      </c>
      <c r="O318" t="s">
        <v>31</v>
      </c>
      <c r="P318" t="str">
        <f t="shared" si="9"/>
        <v>Hospital Provincial da Matola</v>
      </c>
      <c r="Q318" t="s">
        <v>24</v>
      </c>
      <c r="R318">
        <v>4</v>
      </c>
    </row>
    <row r="319" spans="1:18" x14ac:dyDescent="0.45">
      <c r="A319" t="s">
        <v>404</v>
      </c>
      <c r="B319" s="3">
        <v>45075</v>
      </c>
      <c r="C319">
        <v>45</v>
      </c>
      <c r="D319" t="s">
        <v>20</v>
      </c>
      <c r="E319">
        <v>75.900000000000006</v>
      </c>
      <c r="F319">
        <v>156.6</v>
      </c>
      <c r="G319" s="4">
        <f t="shared" si="8"/>
        <v>30.949829470109567</v>
      </c>
      <c r="H319" t="s">
        <v>46</v>
      </c>
      <c r="I319" t="s">
        <v>47</v>
      </c>
      <c r="J319">
        <v>121</v>
      </c>
      <c r="K319">
        <v>78</v>
      </c>
      <c r="L319">
        <v>114</v>
      </c>
      <c r="M319">
        <v>3</v>
      </c>
      <c r="N319" s="5">
        <v>9915.85</v>
      </c>
      <c r="O319" t="s">
        <v>63</v>
      </c>
      <c r="P319" t="str">
        <f t="shared" si="9"/>
        <v>Hospital Central de Nampula</v>
      </c>
      <c r="Q319" t="s">
        <v>24</v>
      </c>
      <c r="R319">
        <v>4</v>
      </c>
    </row>
    <row r="320" spans="1:18" x14ac:dyDescent="0.45">
      <c r="A320" t="s">
        <v>405</v>
      </c>
      <c r="B320" s="3">
        <v>45519</v>
      </c>
      <c r="C320">
        <v>49</v>
      </c>
      <c r="D320" t="s">
        <v>27</v>
      </c>
      <c r="E320">
        <v>81.8</v>
      </c>
      <c r="F320">
        <v>167.2</v>
      </c>
      <c r="G320" s="4">
        <f t="shared" si="8"/>
        <v>29.260433598131911</v>
      </c>
      <c r="H320" t="s">
        <v>34</v>
      </c>
      <c r="I320" t="s">
        <v>126</v>
      </c>
      <c r="J320">
        <v>106</v>
      </c>
      <c r="K320">
        <v>66</v>
      </c>
      <c r="L320">
        <v>65</v>
      </c>
      <c r="M320">
        <v>1</v>
      </c>
      <c r="N320" s="5">
        <v>2961.15</v>
      </c>
      <c r="O320" t="s">
        <v>63</v>
      </c>
      <c r="P320" t="str">
        <f t="shared" si="9"/>
        <v>Hospital Central de Nampula</v>
      </c>
      <c r="Q320" t="s">
        <v>24</v>
      </c>
      <c r="R320">
        <v>4</v>
      </c>
    </row>
    <row r="321" spans="1:18" x14ac:dyDescent="0.45">
      <c r="A321" t="s">
        <v>406</v>
      </c>
      <c r="B321" s="3">
        <v>45141</v>
      </c>
      <c r="C321">
        <v>59</v>
      </c>
      <c r="D321" t="s">
        <v>20</v>
      </c>
      <c r="E321">
        <v>45.8</v>
      </c>
      <c r="F321">
        <v>172.2</v>
      </c>
      <c r="G321" s="4">
        <f t="shared" si="8"/>
        <v>15.445400845247875</v>
      </c>
      <c r="H321" t="s">
        <v>55</v>
      </c>
      <c r="I321" t="s">
        <v>80</v>
      </c>
      <c r="J321">
        <v>125</v>
      </c>
      <c r="K321">
        <v>93</v>
      </c>
      <c r="L321">
        <v>70</v>
      </c>
      <c r="M321">
        <v>1</v>
      </c>
      <c r="N321" s="5">
        <v>5381.46</v>
      </c>
      <c r="O321" t="s">
        <v>52</v>
      </c>
      <c r="P321" t="str">
        <f t="shared" si="9"/>
        <v>Hospital Provincial de Chimoio</v>
      </c>
      <c r="Q321" t="s">
        <v>76</v>
      </c>
      <c r="R321">
        <v>4</v>
      </c>
    </row>
    <row r="322" spans="1:18" x14ac:dyDescent="0.45">
      <c r="A322" t="s">
        <v>407</v>
      </c>
      <c r="B322" s="3">
        <v>45059</v>
      </c>
      <c r="C322">
        <v>24</v>
      </c>
      <c r="D322" t="s">
        <v>27</v>
      </c>
      <c r="E322">
        <v>70.5</v>
      </c>
      <c r="F322">
        <v>155.30000000000001</v>
      </c>
      <c r="G322" s="4">
        <f t="shared" ref="G322:G385" si="10">E322/((F322/100)^2)</f>
        <v>29.2311704616742</v>
      </c>
      <c r="H322" t="s">
        <v>41</v>
      </c>
      <c r="I322" t="s">
        <v>113</v>
      </c>
      <c r="J322">
        <v>128</v>
      </c>
      <c r="K322">
        <v>78</v>
      </c>
      <c r="L322">
        <v>99</v>
      </c>
      <c r="M322">
        <v>1</v>
      </c>
      <c r="N322" s="5">
        <v>5039.1099999999997</v>
      </c>
      <c r="O322" t="s">
        <v>51</v>
      </c>
      <c r="P322" t="str">
        <f t="shared" ref="P322:P385" si="11">INDEX($U$2:$U$12,MATCH(O322,$T$2:$T$12,0))</f>
        <v>Hospital Central de Quelimane</v>
      </c>
      <c r="Q322" t="s">
        <v>24</v>
      </c>
      <c r="R322">
        <v>4</v>
      </c>
    </row>
    <row r="323" spans="1:18" x14ac:dyDescent="0.45">
      <c r="A323" t="s">
        <v>408</v>
      </c>
      <c r="B323" s="3">
        <v>45351</v>
      </c>
      <c r="C323">
        <v>19</v>
      </c>
      <c r="D323" t="s">
        <v>27</v>
      </c>
      <c r="E323">
        <v>72</v>
      </c>
      <c r="F323">
        <v>176.2</v>
      </c>
      <c r="G323" s="4">
        <f t="shared" si="10"/>
        <v>23.191064740434015</v>
      </c>
      <c r="H323" t="s">
        <v>21</v>
      </c>
      <c r="I323" t="s">
        <v>70</v>
      </c>
      <c r="J323">
        <v>108</v>
      </c>
      <c r="K323">
        <v>64</v>
      </c>
      <c r="L323">
        <v>129</v>
      </c>
      <c r="M323">
        <v>1</v>
      </c>
      <c r="N323" s="5">
        <v>3669.55</v>
      </c>
      <c r="O323" t="s">
        <v>23</v>
      </c>
      <c r="P323" t="str">
        <f t="shared" si="11"/>
        <v>Hospital Central de Maputo</v>
      </c>
      <c r="Q323" t="s">
        <v>24</v>
      </c>
      <c r="R323">
        <v>4</v>
      </c>
    </row>
    <row r="324" spans="1:18" x14ac:dyDescent="0.45">
      <c r="A324" t="s">
        <v>409</v>
      </c>
      <c r="B324" s="3">
        <v>45509</v>
      </c>
      <c r="C324">
        <v>32</v>
      </c>
      <c r="D324" t="s">
        <v>27</v>
      </c>
      <c r="E324">
        <v>82.5</v>
      </c>
      <c r="F324">
        <v>179</v>
      </c>
      <c r="G324" s="4">
        <f t="shared" si="10"/>
        <v>25.748260041821418</v>
      </c>
      <c r="H324" t="s">
        <v>99</v>
      </c>
      <c r="I324" t="s">
        <v>100</v>
      </c>
      <c r="J324">
        <v>102</v>
      </c>
      <c r="K324">
        <v>59</v>
      </c>
      <c r="L324">
        <v>72</v>
      </c>
      <c r="M324">
        <v>3</v>
      </c>
      <c r="N324" s="5">
        <v>11119.8</v>
      </c>
      <c r="O324" t="s">
        <v>30</v>
      </c>
      <c r="P324" t="str">
        <f t="shared" si="11"/>
        <v>Hospital Provincial de Inhambane</v>
      </c>
      <c r="Q324" t="s">
        <v>37</v>
      </c>
      <c r="R324">
        <v>4</v>
      </c>
    </row>
    <row r="325" spans="1:18" x14ac:dyDescent="0.45">
      <c r="A325" t="s">
        <v>410</v>
      </c>
      <c r="B325" s="3">
        <v>44984</v>
      </c>
      <c r="C325">
        <v>28</v>
      </c>
      <c r="D325" t="s">
        <v>27</v>
      </c>
      <c r="E325">
        <v>68.7</v>
      </c>
      <c r="F325">
        <v>152.69999999999999</v>
      </c>
      <c r="G325" s="4">
        <f t="shared" si="10"/>
        <v>29.463115139023451</v>
      </c>
      <c r="H325" t="s">
        <v>55</v>
      </c>
      <c r="I325" t="s">
        <v>80</v>
      </c>
      <c r="J325">
        <v>128</v>
      </c>
      <c r="K325">
        <v>83</v>
      </c>
      <c r="L325">
        <v>65</v>
      </c>
      <c r="M325">
        <v>1</v>
      </c>
      <c r="N325" s="5">
        <v>6099.54</v>
      </c>
      <c r="O325" t="s">
        <v>23</v>
      </c>
      <c r="P325" t="str">
        <f t="shared" si="11"/>
        <v>Hospital Central de Maputo</v>
      </c>
      <c r="Q325" t="s">
        <v>76</v>
      </c>
      <c r="R325">
        <v>4</v>
      </c>
    </row>
    <row r="326" spans="1:18" x14ac:dyDescent="0.45">
      <c r="A326" t="s">
        <v>411</v>
      </c>
      <c r="B326" s="3">
        <v>45096</v>
      </c>
      <c r="C326">
        <v>3</v>
      </c>
      <c r="D326" t="s">
        <v>27</v>
      </c>
      <c r="E326">
        <v>15.7</v>
      </c>
      <c r="F326">
        <v>99.2</v>
      </c>
      <c r="G326" s="4">
        <f t="shared" si="10"/>
        <v>15.954246878251821</v>
      </c>
      <c r="H326" t="s">
        <v>28</v>
      </c>
      <c r="I326" t="s">
        <v>50</v>
      </c>
      <c r="J326">
        <v>113</v>
      </c>
      <c r="K326">
        <v>71</v>
      </c>
      <c r="L326">
        <v>73</v>
      </c>
      <c r="M326">
        <v>2</v>
      </c>
      <c r="N326" s="5">
        <v>7443.38</v>
      </c>
      <c r="O326" t="s">
        <v>38</v>
      </c>
      <c r="P326" t="str">
        <f t="shared" si="11"/>
        <v>Hospital Provincial de Xai-Xai</v>
      </c>
      <c r="Q326" t="s">
        <v>24</v>
      </c>
      <c r="R326">
        <v>5</v>
      </c>
    </row>
    <row r="327" spans="1:18" x14ac:dyDescent="0.45">
      <c r="A327" t="s">
        <v>412</v>
      </c>
      <c r="B327" s="3">
        <v>45133</v>
      </c>
      <c r="C327">
        <v>38</v>
      </c>
      <c r="D327" t="s">
        <v>20</v>
      </c>
      <c r="E327">
        <v>39.200000000000003</v>
      </c>
      <c r="F327">
        <v>168.9</v>
      </c>
      <c r="G327" s="4">
        <f t="shared" si="10"/>
        <v>13.741266671363936</v>
      </c>
      <c r="H327" t="s">
        <v>41</v>
      </c>
      <c r="I327" t="s">
        <v>217</v>
      </c>
      <c r="J327">
        <v>121</v>
      </c>
      <c r="K327">
        <v>79</v>
      </c>
      <c r="L327">
        <v>65</v>
      </c>
      <c r="M327">
        <v>1</v>
      </c>
      <c r="N327" s="5">
        <v>4638.2700000000004</v>
      </c>
      <c r="O327" t="s">
        <v>23</v>
      </c>
      <c r="P327" t="str">
        <f t="shared" si="11"/>
        <v>Hospital Central de Maputo</v>
      </c>
      <c r="Q327" t="s">
        <v>76</v>
      </c>
      <c r="R327">
        <v>4</v>
      </c>
    </row>
    <row r="328" spans="1:18" x14ac:dyDescent="0.45">
      <c r="A328" t="s">
        <v>413</v>
      </c>
      <c r="B328" s="3">
        <v>45062</v>
      </c>
      <c r="C328">
        <v>41</v>
      </c>
      <c r="D328" t="s">
        <v>20</v>
      </c>
      <c r="E328">
        <v>79.599999999999994</v>
      </c>
      <c r="F328">
        <v>149.30000000000001</v>
      </c>
      <c r="G328" s="4">
        <f t="shared" si="10"/>
        <v>35.710296184606072</v>
      </c>
      <c r="H328" t="s">
        <v>46</v>
      </c>
      <c r="I328" t="s">
        <v>66</v>
      </c>
      <c r="J328">
        <v>124</v>
      </c>
      <c r="K328">
        <v>80</v>
      </c>
      <c r="L328">
        <v>123</v>
      </c>
      <c r="M328">
        <v>8</v>
      </c>
      <c r="N328" s="5">
        <v>16689.009999999998</v>
      </c>
      <c r="O328" t="s">
        <v>23</v>
      </c>
      <c r="P328" t="str">
        <f t="shared" si="11"/>
        <v>Hospital Central de Maputo</v>
      </c>
      <c r="Q328" t="s">
        <v>24</v>
      </c>
      <c r="R328">
        <v>5</v>
      </c>
    </row>
    <row r="329" spans="1:18" x14ac:dyDescent="0.45">
      <c r="A329" t="s">
        <v>414</v>
      </c>
      <c r="B329" s="3">
        <v>44950</v>
      </c>
      <c r="C329">
        <v>47</v>
      </c>
      <c r="D329" t="s">
        <v>27</v>
      </c>
      <c r="E329">
        <v>71.099999999999994</v>
      </c>
      <c r="F329">
        <v>160.5</v>
      </c>
      <c r="G329" s="4">
        <f t="shared" si="10"/>
        <v>27.600663813433485</v>
      </c>
      <c r="H329" t="s">
        <v>46</v>
      </c>
      <c r="I329" t="s">
        <v>94</v>
      </c>
      <c r="J329">
        <v>117</v>
      </c>
      <c r="K329">
        <v>77</v>
      </c>
      <c r="L329">
        <v>82</v>
      </c>
      <c r="M329">
        <v>1</v>
      </c>
      <c r="N329" s="5">
        <v>2176.66</v>
      </c>
      <c r="O329" t="s">
        <v>57</v>
      </c>
      <c r="P329" t="str">
        <f t="shared" si="11"/>
        <v>Hospital Provincial de Tete</v>
      </c>
      <c r="Q329" t="s">
        <v>24</v>
      </c>
      <c r="R329">
        <v>3</v>
      </c>
    </row>
    <row r="330" spans="1:18" x14ac:dyDescent="0.45">
      <c r="A330" t="s">
        <v>415</v>
      </c>
      <c r="B330" s="3">
        <v>45285</v>
      </c>
      <c r="C330">
        <v>9</v>
      </c>
      <c r="D330" t="s">
        <v>27</v>
      </c>
      <c r="E330">
        <v>28.1</v>
      </c>
      <c r="F330">
        <v>109.3</v>
      </c>
      <c r="G330" s="4">
        <f t="shared" si="10"/>
        <v>23.521553192611389</v>
      </c>
      <c r="H330" t="s">
        <v>28</v>
      </c>
      <c r="I330" t="s">
        <v>75</v>
      </c>
      <c r="J330">
        <v>112</v>
      </c>
      <c r="K330">
        <v>75</v>
      </c>
      <c r="L330">
        <v>72</v>
      </c>
      <c r="M330">
        <v>1</v>
      </c>
      <c r="N330" s="5">
        <v>4366.8900000000003</v>
      </c>
      <c r="O330" t="s">
        <v>23</v>
      </c>
      <c r="P330" t="str">
        <f t="shared" si="11"/>
        <v>Hospital Central de Maputo</v>
      </c>
      <c r="Q330" t="s">
        <v>24</v>
      </c>
      <c r="R330">
        <v>2</v>
      </c>
    </row>
    <row r="331" spans="1:18" x14ac:dyDescent="0.45">
      <c r="A331" t="s">
        <v>416</v>
      </c>
      <c r="B331" s="3">
        <v>45328</v>
      </c>
      <c r="C331">
        <v>56</v>
      </c>
      <c r="D331" t="s">
        <v>20</v>
      </c>
      <c r="E331">
        <v>56.3</v>
      </c>
      <c r="F331">
        <v>155</v>
      </c>
      <c r="G331" s="4">
        <f t="shared" si="10"/>
        <v>23.433922996878248</v>
      </c>
      <c r="H331" t="s">
        <v>46</v>
      </c>
      <c r="I331" t="s">
        <v>66</v>
      </c>
      <c r="J331">
        <v>115</v>
      </c>
      <c r="K331">
        <v>75</v>
      </c>
      <c r="L331">
        <v>65</v>
      </c>
      <c r="M331">
        <v>4</v>
      </c>
      <c r="N331" s="5">
        <v>12126.48</v>
      </c>
      <c r="O331" t="s">
        <v>51</v>
      </c>
      <c r="P331" t="str">
        <f t="shared" si="11"/>
        <v>Hospital Central de Quelimane</v>
      </c>
      <c r="Q331" t="s">
        <v>24</v>
      </c>
      <c r="R331">
        <v>3</v>
      </c>
    </row>
    <row r="332" spans="1:18" x14ac:dyDescent="0.45">
      <c r="A332" t="s">
        <v>417</v>
      </c>
      <c r="B332" s="3">
        <v>45642</v>
      </c>
      <c r="C332">
        <v>28</v>
      </c>
      <c r="D332" t="s">
        <v>27</v>
      </c>
      <c r="E332">
        <v>35.4</v>
      </c>
      <c r="F332">
        <v>175</v>
      </c>
      <c r="G332" s="4">
        <f t="shared" si="10"/>
        <v>11.559183673469388</v>
      </c>
      <c r="H332" t="s">
        <v>21</v>
      </c>
      <c r="I332" t="s">
        <v>89</v>
      </c>
      <c r="J332">
        <v>141</v>
      </c>
      <c r="K332">
        <v>95</v>
      </c>
      <c r="L332">
        <v>118</v>
      </c>
      <c r="M332">
        <v>1</v>
      </c>
      <c r="N332" s="5">
        <v>2904.33</v>
      </c>
      <c r="O332" t="s">
        <v>67</v>
      </c>
      <c r="P332" t="str">
        <f t="shared" si="11"/>
        <v>Hospital Provincial de Pemba</v>
      </c>
      <c r="Q332" t="s">
        <v>24</v>
      </c>
      <c r="R332">
        <v>5</v>
      </c>
    </row>
    <row r="333" spans="1:18" x14ac:dyDescent="0.45">
      <c r="A333" t="s">
        <v>418</v>
      </c>
      <c r="B333" s="3">
        <v>45259</v>
      </c>
      <c r="C333">
        <v>45</v>
      </c>
      <c r="D333" t="s">
        <v>27</v>
      </c>
      <c r="E333">
        <v>56.9</v>
      </c>
      <c r="F333">
        <v>164.8</v>
      </c>
      <c r="G333" s="4">
        <f t="shared" si="10"/>
        <v>20.950666886605706</v>
      </c>
      <c r="H333" t="s">
        <v>41</v>
      </c>
      <c r="I333" t="s">
        <v>161</v>
      </c>
      <c r="J333">
        <v>119</v>
      </c>
      <c r="K333">
        <v>74</v>
      </c>
      <c r="L333">
        <v>66</v>
      </c>
      <c r="M333">
        <v>1</v>
      </c>
      <c r="N333" s="5">
        <v>4271.16</v>
      </c>
      <c r="O333" t="s">
        <v>63</v>
      </c>
      <c r="P333" t="str">
        <f t="shared" si="11"/>
        <v>Hospital Central de Nampula</v>
      </c>
      <c r="Q333" t="s">
        <v>24</v>
      </c>
      <c r="R333">
        <v>4</v>
      </c>
    </row>
    <row r="334" spans="1:18" x14ac:dyDescent="0.45">
      <c r="A334" t="s">
        <v>419</v>
      </c>
      <c r="B334" s="3">
        <v>45236</v>
      </c>
      <c r="C334">
        <v>18</v>
      </c>
      <c r="D334" t="s">
        <v>27</v>
      </c>
      <c r="E334">
        <v>75.7</v>
      </c>
      <c r="F334">
        <v>169.5</v>
      </c>
      <c r="G334" s="4">
        <f t="shared" si="10"/>
        <v>26.3485350806206</v>
      </c>
      <c r="H334" t="s">
        <v>91</v>
      </c>
      <c r="I334" t="s">
        <v>110</v>
      </c>
      <c r="J334">
        <v>105</v>
      </c>
      <c r="K334">
        <v>59</v>
      </c>
      <c r="L334">
        <v>115</v>
      </c>
      <c r="M334">
        <v>3</v>
      </c>
      <c r="N334" s="5">
        <v>10061.36</v>
      </c>
      <c r="O334" t="s">
        <v>63</v>
      </c>
      <c r="P334" t="str">
        <f t="shared" si="11"/>
        <v>Hospital Central de Nampula</v>
      </c>
      <c r="Q334" t="s">
        <v>24</v>
      </c>
      <c r="R334">
        <v>3</v>
      </c>
    </row>
    <row r="335" spans="1:18" x14ac:dyDescent="0.45">
      <c r="A335" t="s">
        <v>420</v>
      </c>
      <c r="B335" s="3">
        <v>45605</v>
      </c>
      <c r="C335">
        <v>30</v>
      </c>
      <c r="D335" t="s">
        <v>20</v>
      </c>
      <c r="E335">
        <v>52.8</v>
      </c>
      <c r="F335">
        <v>146.4</v>
      </c>
      <c r="G335" s="4">
        <f t="shared" si="10"/>
        <v>24.634954761264893</v>
      </c>
      <c r="H335" t="s">
        <v>46</v>
      </c>
      <c r="I335" t="s">
        <v>47</v>
      </c>
      <c r="J335">
        <v>104</v>
      </c>
      <c r="K335">
        <v>55</v>
      </c>
      <c r="L335">
        <v>77</v>
      </c>
      <c r="M335">
        <v>1</v>
      </c>
      <c r="N335" s="5">
        <v>3914.32</v>
      </c>
      <c r="O335" t="s">
        <v>23</v>
      </c>
      <c r="P335" t="str">
        <f t="shared" si="11"/>
        <v>Hospital Central de Maputo</v>
      </c>
      <c r="Q335" t="s">
        <v>37</v>
      </c>
      <c r="R335">
        <v>5</v>
      </c>
    </row>
    <row r="336" spans="1:18" x14ac:dyDescent="0.45">
      <c r="A336" t="s">
        <v>421</v>
      </c>
      <c r="B336" s="3">
        <v>45315</v>
      </c>
      <c r="C336">
        <v>34</v>
      </c>
      <c r="D336" t="s">
        <v>27</v>
      </c>
      <c r="E336">
        <v>83.7</v>
      </c>
      <c r="F336">
        <v>159.69999999999999</v>
      </c>
      <c r="G336" s="4">
        <f t="shared" si="10"/>
        <v>32.818265619357526</v>
      </c>
      <c r="H336" t="s">
        <v>41</v>
      </c>
      <c r="I336" t="s">
        <v>113</v>
      </c>
      <c r="J336">
        <v>121</v>
      </c>
      <c r="K336">
        <v>74</v>
      </c>
      <c r="L336">
        <v>89</v>
      </c>
      <c r="M336">
        <v>1</v>
      </c>
      <c r="N336" s="5">
        <v>3490.09</v>
      </c>
      <c r="O336" t="s">
        <v>30</v>
      </c>
      <c r="P336" t="str">
        <f t="shared" si="11"/>
        <v>Hospital Provincial de Inhambane</v>
      </c>
      <c r="Q336" t="s">
        <v>24</v>
      </c>
      <c r="R336">
        <v>3</v>
      </c>
    </row>
    <row r="337" spans="1:18" x14ac:dyDescent="0.45">
      <c r="A337" t="s">
        <v>422</v>
      </c>
      <c r="B337" s="3">
        <v>45624</v>
      </c>
      <c r="C337">
        <v>45</v>
      </c>
      <c r="D337" t="s">
        <v>27</v>
      </c>
      <c r="E337">
        <v>58.6</v>
      </c>
      <c r="F337">
        <v>149.9</v>
      </c>
      <c r="G337" s="4">
        <f t="shared" si="10"/>
        <v>26.079205127189525</v>
      </c>
      <c r="H337" t="s">
        <v>91</v>
      </c>
      <c r="I337" t="s">
        <v>131</v>
      </c>
      <c r="J337">
        <v>91</v>
      </c>
      <c r="K337">
        <v>64</v>
      </c>
      <c r="L337">
        <v>89</v>
      </c>
      <c r="M337">
        <v>3</v>
      </c>
      <c r="N337" s="5">
        <v>9449.6</v>
      </c>
      <c r="O337" t="s">
        <v>63</v>
      </c>
      <c r="P337" t="str">
        <f t="shared" si="11"/>
        <v>Hospital Central de Nampula</v>
      </c>
      <c r="Q337" t="s">
        <v>24</v>
      </c>
      <c r="R337">
        <v>5</v>
      </c>
    </row>
    <row r="338" spans="1:18" x14ac:dyDescent="0.45">
      <c r="A338" t="s">
        <v>423</v>
      </c>
      <c r="B338" s="3">
        <v>44981</v>
      </c>
      <c r="C338">
        <v>44</v>
      </c>
      <c r="D338" t="s">
        <v>20</v>
      </c>
      <c r="E338">
        <v>69.8</v>
      </c>
      <c r="F338">
        <v>155.30000000000001</v>
      </c>
      <c r="G338" s="4">
        <f t="shared" si="10"/>
        <v>28.940931889714314</v>
      </c>
      <c r="H338" t="s">
        <v>46</v>
      </c>
      <c r="I338" t="s">
        <v>108</v>
      </c>
      <c r="J338">
        <v>111</v>
      </c>
      <c r="K338">
        <v>67</v>
      </c>
      <c r="L338">
        <v>73</v>
      </c>
      <c r="M338">
        <v>1</v>
      </c>
      <c r="N338" s="5">
        <v>3563.27</v>
      </c>
      <c r="O338" t="s">
        <v>52</v>
      </c>
      <c r="P338" t="str">
        <f t="shared" si="11"/>
        <v>Hospital Provincial de Chimoio</v>
      </c>
      <c r="Q338" t="s">
        <v>24</v>
      </c>
      <c r="R338">
        <v>4</v>
      </c>
    </row>
    <row r="339" spans="1:18" x14ac:dyDescent="0.45">
      <c r="A339" t="s">
        <v>424</v>
      </c>
      <c r="B339" s="3">
        <v>45119</v>
      </c>
      <c r="C339">
        <v>21</v>
      </c>
      <c r="D339" t="s">
        <v>27</v>
      </c>
      <c r="E339">
        <v>81.900000000000006</v>
      </c>
      <c r="F339">
        <v>170.2</v>
      </c>
      <c r="G339" s="4">
        <f t="shared" si="10"/>
        <v>28.272537596606469</v>
      </c>
      <c r="H339" t="s">
        <v>99</v>
      </c>
      <c r="I339" t="s">
        <v>151</v>
      </c>
      <c r="J339">
        <v>108</v>
      </c>
      <c r="K339">
        <v>68</v>
      </c>
      <c r="L339">
        <v>93</v>
      </c>
      <c r="M339">
        <v>1</v>
      </c>
      <c r="N339" s="5">
        <v>4667.8500000000004</v>
      </c>
      <c r="O339" t="s">
        <v>43</v>
      </c>
      <c r="P339" t="str">
        <f t="shared" si="11"/>
        <v>Hospital Central da Beira</v>
      </c>
      <c r="Q339" t="s">
        <v>76</v>
      </c>
      <c r="R339">
        <v>2</v>
      </c>
    </row>
    <row r="340" spans="1:18" x14ac:dyDescent="0.45">
      <c r="A340" t="s">
        <v>425</v>
      </c>
      <c r="B340" s="3">
        <v>45584</v>
      </c>
      <c r="C340">
        <v>36</v>
      </c>
      <c r="D340" t="s">
        <v>27</v>
      </c>
      <c r="E340">
        <v>54.6</v>
      </c>
      <c r="F340">
        <v>154.4</v>
      </c>
      <c r="G340" s="4">
        <f t="shared" si="10"/>
        <v>22.903299417434024</v>
      </c>
      <c r="H340" t="s">
        <v>99</v>
      </c>
      <c r="I340" t="s">
        <v>100</v>
      </c>
      <c r="J340">
        <v>105</v>
      </c>
      <c r="K340">
        <v>55</v>
      </c>
      <c r="L340">
        <v>104</v>
      </c>
      <c r="M340">
        <v>1</v>
      </c>
      <c r="N340" s="5">
        <v>3336</v>
      </c>
      <c r="O340" t="s">
        <v>23</v>
      </c>
      <c r="P340" t="str">
        <f t="shared" si="11"/>
        <v>Hospital Central de Maputo</v>
      </c>
      <c r="Q340" t="s">
        <v>24</v>
      </c>
      <c r="R340">
        <v>5</v>
      </c>
    </row>
    <row r="341" spans="1:18" x14ac:dyDescent="0.45">
      <c r="A341" t="s">
        <v>426</v>
      </c>
      <c r="B341" s="3">
        <v>45656</v>
      </c>
      <c r="C341">
        <v>22</v>
      </c>
      <c r="D341" t="s">
        <v>27</v>
      </c>
      <c r="E341">
        <v>46.9</v>
      </c>
      <c r="F341">
        <v>160.5</v>
      </c>
      <c r="G341" s="4">
        <f t="shared" si="10"/>
        <v>18.206345047117168</v>
      </c>
      <c r="H341" t="s">
        <v>91</v>
      </c>
      <c r="I341" t="s">
        <v>92</v>
      </c>
      <c r="J341">
        <v>101</v>
      </c>
      <c r="K341">
        <v>67</v>
      </c>
      <c r="L341">
        <v>101</v>
      </c>
      <c r="M341">
        <v>4</v>
      </c>
      <c r="N341" s="5">
        <v>7774.21</v>
      </c>
      <c r="O341" t="s">
        <v>36</v>
      </c>
      <c r="P341" t="str">
        <f t="shared" si="11"/>
        <v>Hospital Provincial de Lichinga</v>
      </c>
      <c r="Q341" t="s">
        <v>76</v>
      </c>
      <c r="R341">
        <v>5</v>
      </c>
    </row>
    <row r="342" spans="1:18" x14ac:dyDescent="0.45">
      <c r="A342" t="s">
        <v>427</v>
      </c>
      <c r="B342" s="3">
        <v>45403</v>
      </c>
      <c r="C342">
        <v>28</v>
      </c>
      <c r="D342" t="s">
        <v>20</v>
      </c>
      <c r="E342">
        <v>58</v>
      </c>
      <c r="F342">
        <v>158.69999999999999</v>
      </c>
      <c r="G342" s="4">
        <f t="shared" si="10"/>
        <v>23.028950169719394</v>
      </c>
      <c r="H342" t="s">
        <v>41</v>
      </c>
      <c r="I342" t="s">
        <v>217</v>
      </c>
      <c r="J342">
        <v>97</v>
      </c>
      <c r="K342">
        <v>55</v>
      </c>
      <c r="L342">
        <v>76</v>
      </c>
      <c r="M342">
        <v>9</v>
      </c>
      <c r="N342" s="5">
        <v>19808.62</v>
      </c>
      <c r="O342" t="s">
        <v>43</v>
      </c>
      <c r="P342" t="str">
        <f t="shared" si="11"/>
        <v>Hospital Central da Beira</v>
      </c>
      <c r="Q342" t="s">
        <v>37</v>
      </c>
      <c r="R342">
        <v>4</v>
      </c>
    </row>
    <row r="343" spans="1:18" x14ac:dyDescent="0.45">
      <c r="A343" t="s">
        <v>428</v>
      </c>
      <c r="B343" s="3">
        <v>45266</v>
      </c>
      <c r="C343">
        <v>52</v>
      </c>
      <c r="D343" t="s">
        <v>27</v>
      </c>
      <c r="E343">
        <v>90.5</v>
      </c>
      <c r="F343">
        <v>162</v>
      </c>
      <c r="G343" s="4">
        <f t="shared" si="10"/>
        <v>34.484072549916164</v>
      </c>
      <c r="H343" t="s">
        <v>91</v>
      </c>
      <c r="I343" t="s">
        <v>110</v>
      </c>
      <c r="J343">
        <v>126</v>
      </c>
      <c r="K343">
        <v>78</v>
      </c>
      <c r="L343">
        <v>65</v>
      </c>
      <c r="M343">
        <v>3</v>
      </c>
      <c r="N343" s="5">
        <v>5190.58</v>
      </c>
      <c r="O343" t="s">
        <v>31</v>
      </c>
      <c r="P343" t="str">
        <f t="shared" si="11"/>
        <v>Hospital Provincial da Matola</v>
      </c>
      <c r="Q343" t="s">
        <v>24</v>
      </c>
      <c r="R343">
        <v>5</v>
      </c>
    </row>
    <row r="344" spans="1:18" x14ac:dyDescent="0.45">
      <c r="A344" t="s">
        <v>429</v>
      </c>
      <c r="B344" s="3">
        <v>45566</v>
      </c>
      <c r="C344">
        <v>2</v>
      </c>
      <c r="D344" t="s">
        <v>20</v>
      </c>
      <c r="E344">
        <v>23.3</v>
      </c>
      <c r="F344">
        <v>58.2</v>
      </c>
      <c r="G344" s="4">
        <f t="shared" si="10"/>
        <v>68.787567459052198</v>
      </c>
      <c r="H344" t="s">
        <v>28</v>
      </c>
      <c r="I344" t="s">
        <v>75</v>
      </c>
      <c r="J344">
        <v>99</v>
      </c>
      <c r="K344">
        <v>64</v>
      </c>
      <c r="L344">
        <v>79</v>
      </c>
      <c r="M344">
        <v>1</v>
      </c>
      <c r="N344" s="5">
        <v>2297.87</v>
      </c>
      <c r="O344" t="s">
        <v>57</v>
      </c>
      <c r="P344" t="str">
        <f t="shared" si="11"/>
        <v>Hospital Provincial de Tete</v>
      </c>
      <c r="Q344" t="s">
        <v>24</v>
      </c>
      <c r="R344">
        <v>4</v>
      </c>
    </row>
    <row r="345" spans="1:18" x14ac:dyDescent="0.45">
      <c r="A345" t="s">
        <v>430</v>
      </c>
      <c r="B345" s="3">
        <v>45106</v>
      </c>
      <c r="C345">
        <v>70</v>
      </c>
      <c r="D345" t="s">
        <v>27</v>
      </c>
      <c r="E345">
        <v>66</v>
      </c>
      <c r="F345">
        <v>146.9</v>
      </c>
      <c r="G345" s="4">
        <f t="shared" si="10"/>
        <v>30.584426687970726</v>
      </c>
      <c r="H345" t="s">
        <v>46</v>
      </c>
      <c r="I345" t="s">
        <v>94</v>
      </c>
      <c r="J345">
        <v>135</v>
      </c>
      <c r="K345">
        <v>79</v>
      </c>
      <c r="L345">
        <v>101</v>
      </c>
      <c r="M345">
        <v>10</v>
      </c>
      <c r="N345" s="5">
        <v>14682.9</v>
      </c>
      <c r="O345" t="s">
        <v>36</v>
      </c>
      <c r="P345" t="str">
        <f t="shared" si="11"/>
        <v>Hospital Provincial de Lichinga</v>
      </c>
      <c r="Q345" t="s">
        <v>24</v>
      </c>
      <c r="R345">
        <v>3</v>
      </c>
    </row>
    <row r="346" spans="1:18" x14ac:dyDescent="0.45">
      <c r="A346" t="s">
        <v>431</v>
      </c>
      <c r="B346" s="3">
        <v>45377</v>
      </c>
      <c r="C346">
        <v>11</v>
      </c>
      <c r="D346" t="s">
        <v>20</v>
      </c>
      <c r="E346">
        <v>13.5</v>
      </c>
      <c r="F346">
        <v>111.8</v>
      </c>
      <c r="G346" s="4">
        <f t="shared" si="10"/>
        <v>10.80065667992614</v>
      </c>
      <c r="H346" t="s">
        <v>28</v>
      </c>
      <c r="I346" t="s">
        <v>29</v>
      </c>
      <c r="J346">
        <v>88</v>
      </c>
      <c r="K346">
        <v>57</v>
      </c>
      <c r="L346">
        <v>94</v>
      </c>
      <c r="M346">
        <v>2</v>
      </c>
      <c r="N346" s="5">
        <v>6099.36</v>
      </c>
      <c r="O346" t="s">
        <v>51</v>
      </c>
      <c r="P346" t="str">
        <f t="shared" si="11"/>
        <v>Hospital Central de Quelimane</v>
      </c>
      <c r="Q346" t="s">
        <v>24</v>
      </c>
      <c r="R346">
        <v>4</v>
      </c>
    </row>
    <row r="347" spans="1:18" x14ac:dyDescent="0.45">
      <c r="A347" t="s">
        <v>432</v>
      </c>
      <c r="B347" s="3">
        <v>45649</v>
      </c>
      <c r="C347">
        <v>59</v>
      </c>
      <c r="D347" t="s">
        <v>27</v>
      </c>
      <c r="E347">
        <v>58.8</v>
      </c>
      <c r="F347">
        <v>177.4</v>
      </c>
      <c r="G347" s="4">
        <f t="shared" si="10"/>
        <v>18.684010173252883</v>
      </c>
      <c r="H347" t="s">
        <v>41</v>
      </c>
      <c r="I347" t="s">
        <v>217</v>
      </c>
      <c r="J347">
        <v>144</v>
      </c>
      <c r="K347">
        <v>85</v>
      </c>
      <c r="L347">
        <v>102</v>
      </c>
      <c r="M347">
        <v>3</v>
      </c>
      <c r="N347" s="5">
        <v>10197.34</v>
      </c>
      <c r="O347" t="s">
        <v>52</v>
      </c>
      <c r="P347" t="str">
        <f t="shared" si="11"/>
        <v>Hospital Provincial de Chimoio</v>
      </c>
      <c r="Q347" t="s">
        <v>24</v>
      </c>
      <c r="R347">
        <v>5</v>
      </c>
    </row>
    <row r="348" spans="1:18" x14ac:dyDescent="0.45">
      <c r="A348" t="s">
        <v>433</v>
      </c>
      <c r="B348" s="3">
        <v>45552</v>
      </c>
      <c r="C348">
        <v>37</v>
      </c>
      <c r="D348" t="s">
        <v>27</v>
      </c>
      <c r="E348">
        <v>46.5</v>
      </c>
      <c r="F348">
        <v>167.1</v>
      </c>
      <c r="G348" s="4">
        <f t="shared" si="10"/>
        <v>16.653290314124032</v>
      </c>
      <c r="H348" t="s">
        <v>91</v>
      </c>
      <c r="I348" t="s">
        <v>131</v>
      </c>
      <c r="J348">
        <v>119</v>
      </c>
      <c r="K348">
        <v>74</v>
      </c>
      <c r="L348">
        <v>116</v>
      </c>
      <c r="M348">
        <v>5</v>
      </c>
      <c r="N348" s="5">
        <v>13180.38</v>
      </c>
      <c r="O348" t="s">
        <v>36</v>
      </c>
      <c r="P348" t="str">
        <f t="shared" si="11"/>
        <v>Hospital Provincial de Lichinga</v>
      </c>
      <c r="Q348" t="s">
        <v>24</v>
      </c>
      <c r="R348">
        <v>1</v>
      </c>
    </row>
    <row r="349" spans="1:18" x14ac:dyDescent="0.45">
      <c r="A349" t="s">
        <v>434</v>
      </c>
      <c r="B349" s="3">
        <v>44935</v>
      </c>
      <c r="C349">
        <v>44</v>
      </c>
      <c r="D349" t="s">
        <v>20</v>
      </c>
      <c r="E349">
        <v>52.5</v>
      </c>
      <c r="F349">
        <v>165.4</v>
      </c>
      <c r="G349" s="4">
        <f t="shared" si="10"/>
        <v>19.190588496759162</v>
      </c>
      <c r="H349" t="s">
        <v>21</v>
      </c>
      <c r="I349" t="s">
        <v>89</v>
      </c>
      <c r="J349">
        <v>158</v>
      </c>
      <c r="K349">
        <v>97</v>
      </c>
      <c r="L349">
        <v>95</v>
      </c>
      <c r="M349">
        <v>3</v>
      </c>
      <c r="N349" s="5">
        <v>5534.31</v>
      </c>
      <c r="O349" t="s">
        <v>63</v>
      </c>
      <c r="P349" t="str">
        <f t="shared" si="11"/>
        <v>Hospital Central de Nampula</v>
      </c>
      <c r="Q349" t="s">
        <v>24</v>
      </c>
      <c r="R349">
        <v>4</v>
      </c>
    </row>
    <row r="350" spans="1:18" x14ac:dyDescent="0.45">
      <c r="A350" t="s">
        <v>435</v>
      </c>
      <c r="B350" s="3">
        <v>45051</v>
      </c>
      <c r="C350">
        <v>24</v>
      </c>
      <c r="D350" t="s">
        <v>20</v>
      </c>
      <c r="E350">
        <v>78.7</v>
      </c>
      <c r="F350">
        <v>157.69999999999999</v>
      </c>
      <c r="G350" s="4">
        <f t="shared" si="10"/>
        <v>31.645455097431412</v>
      </c>
      <c r="H350" t="s">
        <v>21</v>
      </c>
      <c r="I350" t="s">
        <v>70</v>
      </c>
      <c r="J350">
        <v>98</v>
      </c>
      <c r="K350">
        <v>60</v>
      </c>
      <c r="L350">
        <v>118</v>
      </c>
      <c r="M350">
        <v>11</v>
      </c>
      <c r="N350" s="5">
        <v>29521.5</v>
      </c>
      <c r="O350" t="s">
        <v>38</v>
      </c>
      <c r="P350" t="str">
        <f t="shared" si="11"/>
        <v>Hospital Provincial de Xai-Xai</v>
      </c>
      <c r="Q350" t="s">
        <v>24</v>
      </c>
      <c r="R350">
        <v>5</v>
      </c>
    </row>
    <row r="351" spans="1:18" x14ac:dyDescent="0.45">
      <c r="A351" t="s">
        <v>436</v>
      </c>
      <c r="B351" s="3">
        <v>45258</v>
      </c>
      <c r="C351">
        <v>2</v>
      </c>
      <c r="D351" t="s">
        <v>27</v>
      </c>
      <c r="E351">
        <v>14.3</v>
      </c>
      <c r="F351">
        <v>109</v>
      </c>
      <c r="G351" s="4">
        <f t="shared" si="10"/>
        <v>12.036023903711808</v>
      </c>
      <c r="H351" t="s">
        <v>28</v>
      </c>
      <c r="I351" t="s">
        <v>50</v>
      </c>
      <c r="J351">
        <v>98</v>
      </c>
      <c r="K351">
        <v>62</v>
      </c>
      <c r="L351">
        <v>99</v>
      </c>
      <c r="M351">
        <v>2</v>
      </c>
      <c r="N351" s="5">
        <v>7540.54</v>
      </c>
      <c r="O351" t="s">
        <v>57</v>
      </c>
      <c r="P351" t="str">
        <f t="shared" si="11"/>
        <v>Hospital Provincial de Tete</v>
      </c>
      <c r="Q351" t="s">
        <v>24</v>
      </c>
      <c r="R351">
        <v>4</v>
      </c>
    </row>
    <row r="352" spans="1:18" x14ac:dyDescent="0.45">
      <c r="A352" t="s">
        <v>437</v>
      </c>
      <c r="B352" s="3">
        <v>45074</v>
      </c>
      <c r="C352">
        <v>3</v>
      </c>
      <c r="D352" t="s">
        <v>27</v>
      </c>
      <c r="E352">
        <v>23</v>
      </c>
      <c r="F352">
        <v>99.8</v>
      </c>
      <c r="G352" s="4">
        <f t="shared" si="10"/>
        <v>23.092276737844426</v>
      </c>
      <c r="H352" t="s">
        <v>28</v>
      </c>
      <c r="I352" t="s">
        <v>73</v>
      </c>
      <c r="J352">
        <v>95</v>
      </c>
      <c r="K352">
        <v>65</v>
      </c>
      <c r="L352">
        <v>96</v>
      </c>
      <c r="M352">
        <v>1</v>
      </c>
      <c r="N352" s="5">
        <v>5304.72</v>
      </c>
      <c r="O352" t="s">
        <v>23</v>
      </c>
      <c r="P352" t="str">
        <f t="shared" si="11"/>
        <v>Hospital Central de Maputo</v>
      </c>
      <c r="Q352" t="s">
        <v>24</v>
      </c>
      <c r="R352">
        <v>5</v>
      </c>
    </row>
    <row r="353" spans="1:18" x14ac:dyDescent="0.45">
      <c r="A353" t="s">
        <v>438</v>
      </c>
      <c r="B353" s="3">
        <v>45607</v>
      </c>
      <c r="C353">
        <v>10</v>
      </c>
      <c r="D353" t="s">
        <v>27</v>
      </c>
      <c r="E353">
        <v>18.600000000000001</v>
      </c>
      <c r="F353">
        <v>79.2</v>
      </c>
      <c r="G353" s="4">
        <f t="shared" si="10"/>
        <v>29.652586470768288</v>
      </c>
      <c r="H353" t="s">
        <v>28</v>
      </c>
      <c r="I353" t="s">
        <v>73</v>
      </c>
      <c r="J353">
        <v>116</v>
      </c>
      <c r="K353">
        <v>69</v>
      </c>
      <c r="L353">
        <v>65</v>
      </c>
      <c r="M353">
        <v>6</v>
      </c>
      <c r="N353" s="5">
        <v>18512.669999999998</v>
      </c>
      <c r="O353" t="s">
        <v>23</v>
      </c>
      <c r="P353" t="str">
        <f t="shared" si="11"/>
        <v>Hospital Central de Maputo</v>
      </c>
      <c r="Q353" t="s">
        <v>202</v>
      </c>
      <c r="R353">
        <v>5</v>
      </c>
    </row>
    <row r="354" spans="1:18" x14ac:dyDescent="0.45">
      <c r="A354" t="s">
        <v>439</v>
      </c>
      <c r="B354" s="3">
        <v>45420</v>
      </c>
      <c r="C354">
        <v>50</v>
      </c>
      <c r="D354" t="s">
        <v>20</v>
      </c>
      <c r="E354">
        <v>72.8</v>
      </c>
      <c r="F354">
        <v>159.19999999999999</v>
      </c>
      <c r="G354" s="4">
        <f t="shared" si="10"/>
        <v>28.724022120653526</v>
      </c>
      <c r="H354" t="s">
        <v>55</v>
      </c>
      <c r="I354" t="s">
        <v>62</v>
      </c>
      <c r="J354">
        <v>158</v>
      </c>
      <c r="K354">
        <v>104</v>
      </c>
      <c r="L354">
        <v>80</v>
      </c>
      <c r="M354">
        <v>7</v>
      </c>
      <c r="N354" s="5">
        <v>16482.669999999998</v>
      </c>
      <c r="O354" t="s">
        <v>51</v>
      </c>
      <c r="P354" t="str">
        <f t="shared" si="11"/>
        <v>Hospital Central de Quelimane</v>
      </c>
      <c r="Q354" t="s">
        <v>24</v>
      </c>
      <c r="R354">
        <v>3</v>
      </c>
    </row>
    <row r="355" spans="1:18" x14ac:dyDescent="0.45">
      <c r="A355" t="s">
        <v>440</v>
      </c>
      <c r="B355" s="3">
        <v>45494</v>
      </c>
      <c r="C355">
        <v>25</v>
      </c>
      <c r="D355" t="s">
        <v>20</v>
      </c>
      <c r="E355">
        <v>75.400000000000006</v>
      </c>
      <c r="F355">
        <v>160.30000000000001</v>
      </c>
      <c r="G355" s="4">
        <f t="shared" si="10"/>
        <v>29.34298564489772</v>
      </c>
      <c r="H355" t="s">
        <v>34</v>
      </c>
      <c r="I355" t="s">
        <v>138</v>
      </c>
      <c r="J355">
        <v>124</v>
      </c>
      <c r="K355">
        <v>82</v>
      </c>
      <c r="L355">
        <v>65</v>
      </c>
      <c r="M355">
        <v>2</v>
      </c>
      <c r="N355" s="5">
        <v>3382.2</v>
      </c>
      <c r="O355" t="s">
        <v>23</v>
      </c>
      <c r="P355" t="str">
        <f t="shared" si="11"/>
        <v>Hospital Central de Maputo</v>
      </c>
      <c r="Q355" t="s">
        <v>76</v>
      </c>
      <c r="R355">
        <v>3</v>
      </c>
    </row>
    <row r="356" spans="1:18" x14ac:dyDescent="0.45">
      <c r="A356" t="s">
        <v>441</v>
      </c>
      <c r="B356" s="3">
        <v>45325</v>
      </c>
      <c r="C356">
        <v>40</v>
      </c>
      <c r="D356" t="s">
        <v>20</v>
      </c>
      <c r="E356">
        <v>64.099999999999994</v>
      </c>
      <c r="F356">
        <v>140</v>
      </c>
      <c r="G356" s="4">
        <f t="shared" si="10"/>
        <v>32.704081632653065</v>
      </c>
      <c r="H356" t="s">
        <v>46</v>
      </c>
      <c r="I356" t="s">
        <v>108</v>
      </c>
      <c r="J356">
        <v>127</v>
      </c>
      <c r="K356">
        <v>64</v>
      </c>
      <c r="L356">
        <v>106</v>
      </c>
      <c r="M356">
        <v>1</v>
      </c>
      <c r="N356" s="5">
        <v>4415.3999999999996</v>
      </c>
      <c r="O356" t="s">
        <v>31</v>
      </c>
      <c r="P356" t="str">
        <f t="shared" si="11"/>
        <v>Hospital Provincial da Matola</v>
      </c>
      <c r="Q356" t="s">
        <v>24</v>
      </c>
      <c r="R356">
        <v>4</v>
      </c>
    </row>
    <row r="357" spans="1:18" x14ac:dyDescent="0.45">
      <c r="A357" t="s">
        <v>442</v>
      </c>
      <c r="B357" s="3">
        <v>45621</v>
      </c>
      <c r="C357">
        <v>39</v>
      </c>
      <c r="D357" t="s">
        <v>20</v>
      </c>
      <c r="E357">
        <v>62.5</v>
      </c>
      <c r="F357">
        <v>165.2</v>
      </c>
      <c r="G357" s="4">
        <f t="shared" si="10"/>
        <v>22.901289214335552</v>
      </c>
      <c r="H357" t="s">
        <v>46</v>
      </c>
      <c r="I357" t="s">
        <v>94</v>
      </c>
      <c r="J357">
        <v>126</v>
      </c>
      <c r="K357">
        <v>84</v>
      </c>
      <c r="L357">
        <v>65</v>
      </c>
      <c r="M357">
        <v>1</v>
      </c>
      <c r="N357" s="5">
        <v>3517.65</v>
      </c>
      <c r="O357" t="s">
        <v>31</v>
      </c>
      <c r="P357" t="str">
        <f t="shared" si="11"/>
        <v>Hospital Provincial da Matola</v>
      </c>
      <c r="Q357" t="s">
        <v>24</v>
      </c>
      <c r="R357">
        <v>4</v>
      </c>
    </row>
    <row r="358" spans="1:18" x14ac:dyDescent="0.45">
      <c r="A358" t="s">
        <v>443</v>
      </c>
      <c r="B358" s="3">
        <v>45026</v>
      </c>
      <c r="C358">
        <v>44</v>
      </c>
      <c r="D358" t="s">
        <v>27</v>
      </c>
      <c r="E358">
        <v>58.8</v>
      </c>
      <c r="F358">
        <v>164.8</v>
      </c>
      <c r="G358" s="4">
        <f t="shared" si="10"/>
        <v>21.650249787915914</v>
      </c>
      <c r="H358" t="s">
        <v>55</v>
      </c>
      <c r="I358" t="s">
        <v>80</v>
      </c>
      <c r="J358">
        <v>96</v>
      </c>
      <c r="K358">
        <v>59</v>
      </c>
      <c r="L358">
        <v>96</v>
      </c>
      <c r="M358">
        <v>2</v>
      </c>
      <c r="N358" s="5">
        <v>10677.79</v>
      </c>
      <c r="O358" t="s">
        <v>51</v>
      </c>
      <c r="P358" t="str">
        <f t="shared" si="11"/>
        <v>Hospital Central de Quelimane</v>
      </c>
      <c r="Q358" t="s">
        <v>24</v>
      </c>
      <c r="R358">
        <v>5</v>
      </c>
    </row>
    <row r="359" spans="1:18" x14ac:dyDescent="0.45">
      <c r="A359" t="s">
        <v>444</v>
      </c>
      <c r="B359" s="3">
        <v>45516</v>
      </c>
      <c r="C359">
        <v>68</v>
      </c>
      <c r="D359" t="s">
        <v>20</v>
      </c>
      <c r="E359">
        <v>48</v>
      </c>
      <c r="F359">
        <v>164.1</v>
      </c>
      <c r="G359" s="4">
        <f t="shared" si="10"/>
        <v>17.824775769891058</v>
      </c>
      <c r="H359" t="s">
        <v>91</v>
      </c>
      <c r="I359" t="s">
        <v>110</v>
      </c>
      <c r="J359">
        <v>124</v>
      </c>
      <c r="K359">
        <v>79</v>
      </c>
      <c r="L359">
        <v>104</v>
      </c>
      <c r="M359">
        <v>4</v>
      </c>
      <c r="N359" s="5">
        <v>10651.2</v>
      </c>
      <c r="O359" t="s">
        <v>67</v>
      </c>
      <c r="P359" t="str">
        <f t="shared" si="11"/>
        <v>Hospital Provincial de Pemba</v>
      </c>
      <c r="Q359" t="s">
        <v>24</v>
      </c>
      <c r="R359">
        <v>2</v>
      </c>
    </row>
    <row r="360" spans="1:18" x14ac:dyDescent="0.45">
      <c r="A360" t="s">
        <v>445</v>
      </c>
      <c r="B360" s="3">
        <v>45574</v>
      </c>
      <c r="C360">
        <v>51</v>
      </c>
      <c r="D360" t="s">
        <v>27</v>
      </c>
      <c r="E360">
        <v>60.6</v>
      </c>
      <c r="F360">
        <v>165.7</v>
      </c>
      <c r="G360" s="4">
        <f t="shared" si="10"/>
        <v>22.071284421278911</v>
      </c>
      <c r="H360" t="s">
        <v>46</v>
      </c>
      <c r="I360" t="s">
        <v>47</v>
      </c>
      <c r="J360">
        <v>147</v>
      </c>
      <c r="K360">
        <v>91</v>
      </c>
      <c r="L360">
        <v>84</v>
      </c>
      <c r="M360">
        <v>1</v>
      </c>
      <c r="N360" s="5">
        <v>5551</v>
      </c>
      <c r="O360" t="s">
        <v>43</v>
      </c>
      <c r="P360" t="str">
        <f t="shared" si="11"/>
        <v>Hospital Central da Beira</v>
      </c>
      <c r="Q360" t="s">
        <v>24</v>
      </c>
      <c r="R360">
        <v>3</v>
      </c>
    </row>
    <row r="361" spans="1:18" x14ac:dyDescent="0.45">
      <c r="A361" t="s">
        <v>446</v>
      </c>
      <c r="B361" s="3">
        <v>45204</v>
      </c>
      <c r="C361">
        <v>18</v>
      </c>
      <c r="D361" t="s">
        <v>27</v>
      </c>
      <c r="E361">
        <v>61.9</v>
      </c>
      <c r="F361">
        <v>161.1</v>
      </c>
      <c r="G361" s="4">
        <f t="shared" si="10"/>
        <v>23.850614240011161</v>
      </c>
      <c r="H361" t="s">
        <v>91</v>
      </c>
      <c r="I361" t="s">
        <v>110</v>
      </c>
      <c r="J361">
        <v>113</v>
      </c>
      <c r="K361">
        <v>76</v>
      </c>
      <c r="L361">
        <v>111</v>
      </c>
      <c r="M361">
        <v>6</v>
      </c>
      <c r="N361" s="5">
        <v>10814.55</v>
      </c>
      <c r="O361" t="s">
        <v>31</v>
      </c>
      <c r="P361" t="str">
        <f t="shared" si="11"/>
        <v>Hospital Provincial da Matola</v>
      </c>
      <c r="Q361" t="s">
        <v>24</v>
      </c>
      <c r="R361">
        <v>4</v>
      </c>
    </row>
    <row r="362" spans="1:18" x14ac:dyDescent="0.45">
      <c r="A362" t="s">
        <v>447</v>
      </c>
      <c r="B362" s="3">
        <v>45024</v>
      </c>
      <c r="C362">
        <v>23</v>
      </c>
      <c r="D362" t="s">
        <v>27</v>
      </c>
      <c r="E362">
        <v>67.8</v>
      </c>
      <c r="F362">
        <v>150.69999999999999</v>
      </c>
      <c r="G362" s="4">
        <f t="shared" si="10"/>
        <v>29.85404542130091</v>
      </c>
      <c r="H362" t="s">
        <v>99</v>
      </c>
      <c r="I362" t="s">
        <v>103</v>
      </c>
      <c r="J362">
        <v>110</v>
      </c>
      <c r="K362">
        <v>70</v>
      </c>
      <c r="L362">
        <v>96</v>
      </c>
      <c r="M362">
        <v>7</v>
      </c>
      <c r="N362" s="5">
        <v>23117.19</v>
      </c>
      <c r="O362" t="s">
        <v>31</v>
      </c>
      <c r="P362" t="str">
        <f t="shared" si="11"/>
        <v>Hospital Provincial da Matola</v>
      </c>
      <c r="Q362" t="s">
        <v>202</v>
      </c>
      <c r="R362">
        <v>2</v>
      </c>
    </row>
    <row r="363" spans="1:18" x14ac:dyDescent="0.45">
      <c r="A363" t="s">
        <v>448</v>
      </c>
      <c r="B363" s="3">
        <v>45299</v>
      </c>
      <c r="C363">
        <v>8</v>
      </c>
      <c r="D363" t="s">
        <v>27</v>
      </c>
      <c r="E363">
        <v>8.4</v>
      </c>
      <c r="F363">
        <v>113.9</v>
      </c>
      <c r="G363" s="4">
        <f t="shared" si="10"/>
        <v>6.4748816985156337</v>
      </c>
      <c r="H363" t="s">
        <v>28</v>
      </c>
      <c r="I363" t="s">
        <v>50</v>
      </c>
      <c r="J363">
        <v>86</v>
      </c>
      <c r="K363">
        <v>55</v>
      </c>
      <c r="L363">
        <v>89</v>
      </c>
      <c r="M363">
        <v>1</v>
      </c>
      <c r="N363" s="5">
        <v>3225.87</v>
      </c>
      <c r="O363" t="s">
        <v>23</v>
      </c>
      <c r="P363" t="str">
        <f t="shared" si="11"/>
        <v>Hospital Central de Maputo</v>
      </c>
      <c r="Q363" t="s">
        <v>24</v>
      </c>
      <c r="R363">
        <v>2</v>
      </c>
    </row>
    <row r="364" spans="1:18" x14ac:dyDescent="0.45">
      <c r="A364" t="s">
        <v>449</v>
      </c>
      <c r="B364" s="3">
        <v>45167</v>
      </c>
      <c r="C364">
        <v>32</v>
      </c>
      <c r="D364" t="s">
        <v>27</v>
      </c>
      <c r="E364">
        <v>64.7</v>
      </c>
      <c r="F364">
        <v>168.3</v>
      </c>
      <c r="G364" s="4">
        <f t="shared" si="10"/>
        <v>22.842101063764058</v>
      </c>
      <c r="H364" t="s">
        <v>55</v>
      </c>
      <c r="I364" t="s">
        <v>62</v>
      </c>
      <c r="J364">
        <v>118</v>
      </c>
      <c r="K364">
        <v>73</v>
      </c>
      <c r="L364">
        <v>102</v>
      </c>
      <c r="M364">
        <v>2</v>
      </c>
      <c r="N364" s="5">
        <v>7583.03</v>
      </c>
      <c r="O364" t="s">
        <v>23</v>
      </c>
      <c r="P364" t="str">
        <f t="shared" si="11"/>
        <v>Hospital Central de Maputo</v>
      </c>
      <c r="Q364" t="s">
        <v>24</v>
      </c>
      <c r="R364">
        <v>2</v>
      </c>
    </row>
    <row r="365" spans="1:18" x14ac:dyDescent="0.45">
      <c r="A365" t="s">
        <v>450</v>
      </c>
      <c r="B365" s="3">
        <v>45373</v>
      </c>
      <c r="C365">
        <v>14</v>
      </c>
      <c r="D365" t="s">
        <v>20</v>
      </c>
      <c r="E365">
        <v>68.2</v>
      </c>
      <c r="F365">
        <v>159.30000000000001</v>
      </c>
      <c r="G365" s="4">
        <f t="shared" si="10"/>
        <v>26.87526919601568</v>
      </c>
      <c r="H365" t="s">
        <v>28</v>
      </c>
      <c r="I365" t="s">
        <v>75</v>
      </c>
      <c r="J365">
        <v>102</v>
      </c>
      <c r="K365">
        <v>55</v>
      </c>
      <c r="L365">
        <v>99</v>
      </c>
      <c r="M365">
        <v>1</v>
      </c>
      <c r="N365" s="5">
        <v>3277</v>
      </c>
      <c r="O365" t="s">
        <v>23</v>
      </c>
      <c r="P365" t="str">
        <f t="shared" si="11"/>
        <v>Hospital Central de Maputo</v>
      </c>
      <c r="Q365" t="s">
        <v>37</v>
      </c>
      <c r="R365">
        <v>4</v>
      </c>
    </row>
    <row r="366" spans="1:18" x14ac:dyDescent="0.45">
      <c r="A366" t="s">
        <v>451</v>
      </c>
      <c r="B366" s="3">
        <v>45102</v>
      </c>
      <c r="C366">
        <v>9</v>
      </c>
      <c r="D366" t="s">
        <v>27</v>
      </c>
      <c r="E366">
        <v>27.5</v>
      </c>
      <c r="F366">
        <v>102.5</v>
      </c>
      <c r="G366" s="4">
        <f t="shared" si="10"/>
        <v>26.17489589530042</v>
      </c>
      <c r="H366" t="s">
        <v>28</v>
      </c>
      <c r="I366" t="s">
        <v>75</v>
      </c>
      <c r="J366">
        <v>87</v>
      </c>
      <c r="K366">
        <v>55</v>
      </c>
      <c r="L366">
        <v>79</v>
      </c>
      <c r="M366">
        <v>14</v>
      </c>
      <c r="N366" s="5">
        <v>40999.199999999997</v>
      </c>
      <c r="O366" t="s">
        <v>63</v>
      </c>
      <c r="P366" t="str">
        <f t="shared" si="11"/>
        <v>Hospital Central de Nampula</v>
      </c>
      <c r="Q366" t="s">
        <v>24</v>
      </c>
      <c r="R366">
        <v>5</v>
      </c>
    </row>
    <row r="367" spans="1:18" x14ac:dyDescent="0.45">
      <c r="A367" t="s">
        <v>452</v>
      </c>
      <c r="B367" s="3">
        <v>45532</v>
      </c>
      <c r="C367">
        <v>24</v>
      </c>
      <c r="D367" t="s">
        <v>27</v>
      </c>
      <c r="E367">
        <v>64.2</v>
      </c>
      <c r="F367">
        <v>177.3</v>
      </c>
      <c r="G367" s="4">
        <f t="shared" si="10"/>
        <v>20.42290686677298</v>
      </c>
      <c r="H367" t="s">
        <v>99</v>
      </c>
      <c r="I367" t="s">
        <v>103</v>
      </c>
      <c r="J367">
        <v>122</v>
      </c>
      <c r="K367">
        <v>78</v>
      </c>
      <c r="L367">
        <v>129</v>
      </c>
      <c r="M367">
        <v>11</v>
      </c>
      <c r="N367" s="5">
        <v>36402.57</v>
      </c>
      <c r="O367" t="s">
        <v>43</v>
      </c>
      <c r="P367" t="str">
        <f t="shared" si="11"/>
        <v>Hospital Central da Beira</v>
      </c>
      <c r="Q367" t="s">
        <v>24</v>
      </c>
      <c r="R367">
        <v>5</v>
      </c>
    </row>
    <row r="368" spans="1:18" x14ac:dyDescent="0.45">
      <c r="A368" t="s">
        <v>453</v>
      </c>
      <c r="B368" s="3">
        <v>45443</v>
      </c>
      <c r="C368">
        <v>18</v>
      </c>
      <c r="D368" t="s">
        <v>20</v>
      </c>
      <c r="E368">
        <v>55.5</v>
      </c>
      <c r="F368">
        <v>173.1</v>
      </c>
      <c r="G368" s="4">
        <f t="shared" si="10"/>
        <v>18.522467753384859</v>
      </c>
      <c r="H368" t="s">
        <v>41</v>
      </c>
      <c r="I368" t="s">
        <v>217</v>
      </c>
      <c r="J368">
        <v>109</v>
      </c>
      <c r="K368">
        <v>66</v>
      </c>
      <c r="L368">
        <v>86</v>
      </c>
      <c r="M368">
        <v>5</v>
      </c>
      <c r="N368" s="5">
        <v>16435.650000000001</v>
      </c>
      <c r="O368" t="s">
        <v>38</v>
      </c>
      <c r="P368" t="str">
        <f t="shared" si="11"/>
        <v>Hospital Provincial de Xai-Xai</v>
      </c>
      <c r="Q368" t="s">
        <v>24</v>
      </c>
      <c r="R368">
        <v>2</v>
      </c>
    </row>
    <row r="369" spans="1:18" x14ac:dyDescent="0.45">
      <c r="A369" t="s">
        <v>454</v>
      </c>
      <c r="B369" s="3">
        <v>45418</v>
      </c>
      <c r="C369">
        <v>14</v>
      </c>
      <c r="D369" t="s">
        <v>27</v>
      </c>
      <c r="E369">
        <v>62</v>
      </c>
      <c r="F369">
        <v>172.9</v>
      </c>
      <c r="G369" s="4">
        <f t="shared" si="10"/>
        <v>20.739663368502672</v>
      </c>
      <c r="H369" t="s">
        <v>28</v>
      </c>
      <c r="I369" t="s">
        <v>29</v>
      </c>
      <c r="J369">
        <v>117</v>
      </c>
      <c r="K369">
        <v>79</v>
      </c>
      <c r="L369">
        <v>101</v>
      </c>
      <c r="M369">
        <v>3</v>
      </c>
      <c r="N369" s="5">
        <v>8161.15</v>
      </c>
      <c r="O369" t="s">
        <v>57</v>
      </c>
      <c r="P369" t="str">
        <f t="shared" si="11"/>
        <v>Hospital Provincial de Tete</v>
      </c>
      <c r="Q369" t="s">
        <v>24</v>
      </c>
      <c r="R369">
        <v>4</v>
      </c>
    </row>
    <row r="370" spans="1:18" x14ac:dyDescent="0.45">
      <c r="A370" t="s">
        <v>455</v>
      </c>
      <c r="B370" s="3">
        <v>45470</v>
      </c>
      <c r="C370">
        <v>69</v>
      </c>
      <c r="D370" t="s">
        <v>20</v>
      </c>
      <c r="E370">
        <v>48.3</v>
      </c>
      <c r="F370">
        <v>159</v>
      </c>
      <c r="G370" s="4">
        <f t="shared" si="10"/>
        <v>19.105256912305681</v>
      </c>
      <c r="H370" t="s">
        <v>91</v>
      </c>
      <c r="I370" t="s">
        <v>116</v>
      </c>
      <c r="J370">
        <v>120</v>
      </c>
      <c r="K370">
        <v>72</v>
      </c>
      <c r="L370">
        <v>82</v>
      </c>
      <c r="M370">
        <v>1</v>
      </c>
      <c r="N370" s="5">
        <v>5239.84</v>
      </c>
      <c r="O370" t="s">
        <v>67</v>
      </c>
      <c r="P370" t="str">
        <f t="shared" si="11"/>
        <v>Hospital Provincial de Pemba</v>
      </c>
      <c r="Q370" t="s">
        <v>24</v>
      </c>
      <c r="R370">
        <v>2</v>
      </c>
    </row>
    <row r="371" spans="1:18" x14ac:dyDescent="0.45">
      <c r="A371" t="s">
        <v>456</v>
      </c>
      <c r="B371" s="3">
        <v>45319</v>
      </c>
      <c r="C371">
        <v>18</v>
      </c>
      <c r="D371" t="s">
        <v>27</v>
      </c>
      <c r="E371">
        <v>69.599999999999994</v>
      </c>
      <c r="F371">
        <v>159.30000000000001</v>
      </c>
      <c r="G371" s="4">
        <f t="shared" si="10"/>
        <v>27.426960939042388</v>
      </c>
      <c r="H371" t="s">
        <v>41</v>
      </c>
      <c r="I371" t="s">
        <v>217</v>
      </c>
      <c r="J371">
        <v>103</v>
      </c>
      <c r="K371">
        <v>63</v>
      </c>
      <c r="L371">
        <v>84</v>
      </c>
      <c r="M371">
        <v>15</v>
      </c>
      <c r="N371" s="5">
        <v>22684.86</v>
      </c>
      <c r="O371" t="s">
        <v>43</v>
      </c>
      <c r="P371" t="str">
        <f t="shared" si="11"/>
        <v>Hospital Central da Beira</v>
      </c>
      <c r="Q371" t="s">
        <v>202</v>
      </c>
      <c r="R371">
        <v>4</v>
      </c>
    </row>
    <row r="372" spans="1:18" x14ac:dyDescent="0.45">
      <c r="A372" t="s">
        <v>457</v>
      </c>
      <c r="B372" s="3">
        <v>45646</v>
      </c>
      <c r="C372">
        <v>26</v>
      </c>
      <c r="D372" t="s">
        <v>20</v>
      </c>
      <c r="E372">
        <v>87.2</v>
      </c>
      <c r="F372">
        <v>154.80000000000001</v>
      </c>
      <c r="G372" s="4">
        <f t="shared" si="10"/>
        <v>36.389372967703594</v>
      </c>
      <c r="H372" t="s">
        <v>46</v>
      </c>
      <c r="I372" t="s">
        <v>94</v>
      </c>
      <c r="J372">
        <v>97</v>
      </c>
      <c r="K372">
        <v>59</v>
      </c>
      <c r="L372">
        <v>104</v>
      </c>
      <c r="M372">
        <v>2</v>
      </c>
      <c r="N372" s="5">
        <v>7278.31</v>
      </c>
      <c r="O372" t="s">
        <v>43</v>
      </c>
      <c r="P372" t="str">
        <f t="shared" si="11"/>
        <v>Hospital Central da Beira</v>
      </c>
      <c r="Q372" t="s">
        <v>24</v>
      </c>
      <c r="R372">
        <v>5</v>
      </c>
    </row>
    <row r="373" spans="1:18" x14ac:dyDescent="0.45">
      <c r="A373" t="s">
        <v>458</v>
      </c>
      <c r="B373" s="3">
        <v>45226</v>
      </c>
      <c r="C373">
        <v>43</v>
      </c>
      <c r="D373" t="s">
        <v>27</v>
      </c>
      <c r="E373">
        <v>87.1</v>
      </c>
      <c r="F373">
        <v>170.1</v>
      </c>
      <c r="G373" s="4">
        <f t="shared" si="10"/>
        <v>30.102982614577105</v>
      </c>
      <c r="H373" t="s">
        <v>46</v>
      </c>
      <c r="I373" t="s">
        <v>47</v>
      </c>
      <c r="J373">
        <v>127</v>
      </c>
      <c r="K373">
        <v>81</v>
      </c>
      <c r="L373">
        <v>109</v>
      </c>
      <c r="M373">
        <v>1</v>
      </c>
      <c r="N373" s="5">
        <v>2226.2399999999998</v>
      </c>
      <c r="O373" t="s">
        <v>23</v>
      </c>
      <c r="P373" t="str">
        <f t="shared" si="11"/>
        <v>Hospital Central de Maputo</v>
      </c>
      <c r="Q373" t="s">
        <v>24</v>
      </c>
      <c r="R373">
        <v>3</v>
      </c>
    </row>
    <row r="374" spans="1:18" x14ac:dyDescent="0.45">
      <c r="A374" t="s">
        <v>459</v>
      </c>
      <c r="B374" s="3">
        <v>45569</v>
      </c>
      <c r="C374">
        <v>76</v>
      </c>
      <c r="D374" t="s">
        <v>20</v>
      </c>
      <c r="E374">
        <v>66</v>
      </c>
      <c r="F374">
        <v>153.69999999999999</v>
      </c>
      <c r="G374" s="4">
        <f t="shared" si="10"/>
        <v>27.938057094382803</v>
      </c>
      <c r="H374" t="s">
        <v>91</v>
      </c>
      <c r="I374" t="s">
        <v>110</v>
      </c>
      <c r="J374">
        <v>130</v>
      </c>
      <c r="K374">
        <v>79</v>
      </c>
      <c r="L374">
        <v>95</v>
      </c>
      <c r="M374">
        <v>6</v>
      </c>
      <c r="N374" s="5">
        <v>19133.099999999999</v>
      </c>
      <c r="O374" t="s">
        <v>30</v>
      </c>
      <c r="P374" t="str">
        <f t="shared" si="11"/>
        <v>Hospital Provincial de Inhambane</v>
      </c>
      <c r="Q374" t="s">
        <v>24</v>
      </c>
      <c r="R374">
        <v>4</v>
      </c>
    </row>
    <row r="375" spans="1:18" x14ac:dyDescent="0.45">
      <c r="A375" t="s">
        <v>460</v>
      </c>
      <c r="B375" s="3">
        <v>45261</v>
      </c>
      <c r="C375">
        <v>41</v>
      </c>
      <c r="D375" t="s">
        <v>27</v>
      </c>
      <c r="E375">
        <v>68.099999999999994</v>
      </c>
      <c r="F375">
        <v>151.80000000000001</v>
      </c>
      <c r="G375" s="4">
        <f t="shared" si="10"/>
        <v>29.553135756950841</v>
      </c>
      <c r="H375" t="s">
        <v>55</v>
      </c>
      <c r="I375" t="s">
        <v>56</v>
      </c>
      <c r="J375">
        <v>124</v>
      </c>
      <c r="K375">
        <v>73</v>
      </c>
      <c r="L375">
        <v>93</v>
      </c>
      <c r="M375">
        <v>1</v>
      </c>
      <c r="N375" s="5">
        <v>6283.83</v>
      </c>
      <c r="O375" t="s">
        <v>23</v>
      </c>
      <c r="P375" t="str">
        <f t="shared" si="11"/>
        <v>Hospital Central de Maputo</v>
      </c>
      <c r="Q375" t="s">
        <v>24</v>
      </c>
      <c r="R375">
        <v>5</v>
      </c>
    </row>
    <row r="376" spans="1:18" x14ac:dyDescent="0.45">
      <c r="A376" t="s">
        <v>461</v>
      </c>
      <c r="B376" s="3">
        <v>45560</v>
      </c>
      <c r="C376">
        <v>26</v>
      </c>
      <c r="D376" t="s">
        <v>20</v>
      </c>
      <c r="E376">
        <v>70.8</v>
      </c>
      <c r="F376">
        <v>165.3</v>
      </c>
      <c r="G376" s="4">
        <f t="shared" si="10"/>
        <v>25.911201434338707</v>
      </c>
      <c r="H376" t="s">
        <v>46</v>
      </c>
      <c r="I376" t="s">
        <v>108</v>
      </c>
      <c r="J376">
        <v>103</v>
      </c>
      <c r="K376">
        <v>55</v>
      </c>
      <c r="L376">
        <v>91</v>
      </c>
      <c r="M376">
        <v>1</v>
      </c>
      <c r="N376" s="5">
        <v>5566.71</v>
      </c>
      <c r="O376" t="s">
        <v>43</v>
      </c>
      <c r="P376" t="str">
        <f t="shared" si="11"/>
        <v>Hospital Central da Beira</v>
      </c>
      <c r="Q376" t="s">
        <v>24</v>
      </c>
      <c r="R376">
        <v>3</v>
      </c>
    </row>
    <row r="377" spans="1:18" x14ac:dyDescent="0.45">
      <c r="A377" t="s">
        <v>462</v>
      </c>
      <c r="B377" s="3">
        <v>45651</v>
      </c>
      <c r="C377">
        <v>28</v>
      </c>
      <c r="D377" t="s">
        <v>20</v>
      </c>
      <c r="E377">
        <v>74.5</v>
      </c>
      <c r="F377">
        <v>168.9</v>
      </c>
      <c r="G377" s="4">
        <f t="shared" si="10"/>
        <v>26.11541752593401</v>
      </c>
      <c r="H377" t="s">
        <v>46</v>
      </c>
      <c r="I377" t="s">
        <v>108</v>
      </c>
      <c r="J377">
        <v>125</v>
      </c>
      <c r="K377">
        <v>76</v>
      </c>
      <c r="L377">
        <v>91</v>
      </c>
      <c r="M377">
        <v>10</v>
      </c>
      <c r="N377" s="5">
        <v>30214.06</v>
      </c>
      <c r="O377" t="s">
        <v>67</v>
      </c>
      <c r="P377" t="str">
        <f t="shared" si="11"/>
        <v>Hospital Provincial de Pemba</v>
      </c>
      <c r="Q377" t="s">
        <v>24</v>
      </c>
      <c r="R377">
        <v>5</v>
      </c>
    </row>
    <row r="378" spans="1:18" x14ac:dyDescent="0.45">
      <c r="A378" t="s">
        <v>463</v>
      </c>
      <c r="B378" s="3">
        <v>45486</v>
      </c>
      <c r="C378">
        <v>40</v>
      </c>
      <c r="D378" t="s">
        <v>27</v>
      </c>
      <c r="E378">
        <v>65.599999999999994</v>
      </c>
      <c r="F378">
        <v>155.69999999999999</v>
      </c>
      <c r="G378" s="4">
        <f t="shared" si="10"/>
        <v>27.059926599949097</v>
      </c>
      <c r="H378" t="s">
        <v>46</v>
      </c>
      <c r="I378" t="s">
        <v>108</v>
      </c>
      <c r="J378">
        <v>147</v>
      </c>
      <c r="K378">
        <v>85</v>
      </c>
      <c r="L378">
        <v>80</v>
      </c>
      <c r="M378">
        <v>3</v>
      </c>
      <c r="N378" s="5">
        <v>10928</v>
      </c>
      <c r="O378" t="s">
        <v>51</v>
      </c>
      <c r="P378" t="str">
        <f t="shared" si="11"/>
        <v>Hospital Central de Quelimane</v>
      </c>
      <c r="Q378" t="s">
        <v>24</v>
      </c>
      <c r="R378">
        <v>5</v>
      </c>
    </row>
    <row r="379" spans="1:18" x14ac:dyDescent="0.45">
      <c r="A379" t="s">
        <v>464</v>
      </c>
      <c r="B379" s="3">
        <v>45069</v>
      </c>
      <c r="C379">
        <v>33</v>
      </c>
      <c r="D379" t="s">
        <v>20</v>
      </c>
      <c r="E379">
        <v>58.3</v>
      </c>
      <c r="F379">
        <v>158.30000000000001</v>
      </c>
      <c r="G379" s="4">
        <f t="shared" si="10"/>
        <v>23.265196503117249</v>
      </c>
      <c r="H379" t="s">
        <v>91</v>
      </c>
      <c r="I379" t="s">
        <v>131</v>
      </c>
      <c r="J379">
        <v>106</v>
      </c>
      <c r="K379">
        <v>69</v>
      </c>
      <c r="L379">
        <v>80</v>
      </c>
      <c r="M379">
        <v>2</v>
      </c>
      <c r="N379" s="5">
        <v>8371.9</v>
      </c>
      <c r="O379" t="s">
        <v>31</v>
      </c>
      <c r="P379" t="str">
        <f t="shared" si="11"/>
        <v>Hospital Provincial da Matola</v>
      </c>
      <c r="Q379" t="s">
        <v>24</v>
      </c>
      <c r="R379">
        <v>5</v>
      </c>
    </row>
    <row r="380" spans="1:18" x14ac:dyDescent="0.45">
      <c r="A380" t="s">
        <v>465</v>
      </c>
      <c r="B380" s="3">
        <v>45620</v>
      </c>
      <c r="C380">
        <v>30</v>
      </c>
      <c r="D380" t="s">
        <v>20</v>
      </c>
      <c r="E380">
        <v>73.900000000000006</v>
      </c>
      <c r="F380">
        <v>165.7</v>
      </c>
      <c r="G380" s="4">
        <f t="shared" si="10"/>
        <v>26.915312190305471</v>
      </c>
      <c r="H380" t="s">
        <v>34</v>
      </c>
      <c r="I380" t="s">
        <v>35</v>
      </c>
      <c r="J380">
        <v>89</v>
      </c>
      <c r="K380">
        <v>55</v>
      </c>
      <c r="L380">
        <v>103</v>
      </c>
      <c r="M380">
        <v>1</v>
      </c>
      <c r="N380" s="5">
        <v>4609.6000000000004</v>
      </c>
      <c r="O380" t="s">
        <v>30</v>
      </c>
      <c r="P380" t="str">
        <f t="shared" si="11"/>
        <v>Hospital Provincial de Inhambane</v>
      </c>
      <c r="Q380" t="s">
        <v>24</v>
      </c>
      <c r="R380">
        <v>4</v>
      </c>
    </row>
    <row r="381" spans="1:18" x14ac:dyDescent="0.45">
      <c r="A381" t="s">
        <v>466</v>
      </c>
      <c r="B381" s="3">
        <v>45383</v>
      </c>
      <c r="C381">
        <v>14</v>
      </c>
      <c r="D381" t="s">
        <v>20</v>
      </c>
      <c r="E381">
        <v>67.3</v>
      </c>
      <c r="F381">
        <v>158.4</v>
      </c>
      <c r="G381" s="4">
        <f t="shared" si="10"/>
        <v>26.822836955412711</v>
      </c>
      <c r="H381" t="s">
        <v>28</v>
      </c>
      <c r="I381" t="s">
        <v>73</v>
      </c>
      <c r="J381">
        <v>96</v>
      </c>
      <c r="K381">
        <v>64</v>
      </c>
      <c r="L381">
        <v>65</v>
      </c>
      <c r="M381">
        <v>2</v>
      </c>
      <c r="N381" s="5">
        <v>6956.23</v>
      </c>
      <c r="O381" t="s">
        <v>57</v>
      </c>
      <c r="P381" t="str">
        <f t="shared" si="11"/>
        <v>Hospital Provincial de Tete</v>
      </c>
      <c r="Q381" t="s">
        <v>24</v>
      </c>
      <c r="R381">
        <v>3</v>
      </c>
    </row>
    <row r="382" spans="1:18" x14ac:dyDescent="0.45">
      <c r="A382" t="s">
        <v>467</v>
      </c>
      <c r="B382" s="3">
        <v>45413</v>
      </c>
      <c r="C382">
        <v>65</v>
      </c>
      <c r="D382" t="s">
        <v>27</v>
      </c>
      <c r="E382">
        <v>81.099999999999994</v>
      </c>
      <c r="F382">
        <v>159.19999999999999</v>
      </c>
      <c r="G382" s="4">
        <f t="shared" si="10"/>
        <v>31.998876291002759</v>
      </c>
      <c r="H382" t="s">
        <v>21</v>
      </c>
      <c r="I382" t="s">
        <v>22</v>
      </c>
      <c r="J382">
        <v>151</v>
      </c>
      <c r="K382">
        <v>93</v>
      </c>
      <c r="L382">
        <v>103</v>
      </c>
      <c r="M382">
        <v>2</v>
      </c>
      <c r="N382" s="5">
        <v>7848.52</v>
      </c>
      <c r="O382" t="s">
        <v>31</v>
      </c>
      <c r="P382" t="str">
        <f t="shared" si="11"/>
        <v>Hospital Provincial da Matola</v>
      </c>
      <c r="Q382" t="s">
        <v>37</v>
      </c>
      <c r="R382">
        <v>3</v>
      </c>
    </row>
    <row r="383" spans="1:18" x14ac:dyDescent="0.45">
      <c r="A383" t="s">
        <v>468</v>
      </c>
      <c r="B383" s="3">
        <v>45429</v>
      </c>
      <c r="C383">
        <v>23</v>
      </c>
      <c r="D383" t="s">
        <v>27</v>
      </c>
      <c r="E383">
        <v>51.5</v>
      </c>
      <c r="F383">
        <v>174.3</v>
      </c>
      <c r="G383" s="4">
        <f t="shared" si="10"/>
        <v>16.951668653138903</v>
      </c>
      <c r="H383" t="s">
        <v>99</v>
      </c>
      <c r="I383" t="s">
        <v>100</v>
      </c>
      <c r="J383">
        <v>104</v>
      </c>
      <c r="K383">
        <v>64</v>
      </c>
      <c r="L383">
        <v>88</v>
      </c>
      <c r="M383">
        <v>1</v>
      </c>
      <c r="N383" s="5">
        <v>6285.01</v>
      </c>
      <c r="O383" t="s">
        <v>43</v>
      </c>
      <c r="P383" t="str">
        <f t="shared" si="11"/>
        <v>Hospital Central da Beira</v>
      </c>
      <c r="Q383" t="s">
        <v>24</v>
      </c>
      <c r="R383">
        <v>5</v>
      </c>
    </row>
    <row r="384" spans="1:18" x14ac:dyDescent="0.45">
      <c r="A384" t="s">
        <v>469</v>
      </c>
      <c r="B384" s="3">
        <v>45354</v>
      </c>
      <c r="C384">
        <v>33</v>
      </c>
      <c r="D384" t="s">
        <v>20</v>
      </c>
      <c r="E384">
        <v>65.3</v>
      </c>
      <c r="F384">
        <v>156.80000000000001</v>
      </c>
      <c r="G384" s="4">
        <f t="shared" si="10"/>
        <v>26.559571532694704</v>
      </c>
      <c r="H384" t="s">
        <v>41</v>
      </c>
      <c r="I384" t="s">
        <v>217</v>
      </c>
      <c r="J384">
        <v>99</v>
      </c>
      <c r="K384">
        <v>69</v>
      </c>
      <c r="L384">
        <v>84</v>
      </c>
      <c r="M384">
        <v>1</v>
      </c>
      <c r="N384" s="5">
        <v>3956.93</v>
      </c>
      <c r="O384" t="s">
        <v>38</v>
      </c>
      <c r="P384" t="str">
        <f t="shared" si="11"/>
        <v>Hospital Provincial de Xai-Xai</v>
      </c>
      <c r="Q384" t="s">
        <v>24</v>
      </c>
      <c r="R384">
        <v>5</v>
      </c>
    </row>
    <row r="385" spans="1:18" x14ac:dyDescent="0.45">
      <c r="A385" t="s">
        <v>470</v>
      </c>
      <c r="B385" s="3">
        <v>45049</v>
      </c>
      <c r="C385">
        <v>18</v>
      </c>
      <c r="D385" t="s">
        <v>27</v>
      </c>
      <c r="E385">
        <v>58.1</v>
      </c>
      <c r="F385">
        <v>155.1</v>
      </c>
      <c r="G385" s="4">
        <f t="shared" si="10"/>
        <v>24.151968676434706</v>
      </c>
      <c r="H385" t="s">
        <v>41</v>
      </c>
      <c r="I385" t="s">
        <v>113</v>
      </c>
      <c r="J385">
        <v>128</v>
      </c>
      <c r="K385">
        <v>70</v>
      </c>
      <c r="L385">
        <v>94</v>
      </c>
      <c r="M385">
        <v>1</v>
      </c>
      <c r="N385" s="5">
        <v>2741.25</v>
      </c>
      <c r="O385" t="s">
        <v>57</v>
      </c>
      <c r="P385" t="str">
        <f t="shared" si="11"/>
        <v>Hospital Provincial de Tete</v>
      </c>
      <c r="Q385" t="s">
        <v>202</v>
      </c>
      <c r="R385">
        <v>2</v>
      </c>
    </row>
    <row r="386" spans="1:18" x14ac:dyDescent="0.45">
      <c r="A386" t="s">
        <v>471</v>
      </c>
      <c r="B386" s="3">
        <v>45225</v>
      </c>
      <c r="C386">
        <v>39</v>
      </c>
      <c r="D386" t="s">
        <v>20</v>
      </c>
      <c r="E386">
        <v>58.1</v>
      </c>
      <c r="F386">
        <v>157.30000000000001</v>
      </c>
      <c r="G386" s="4">
        <f t="shared" ref="G386:G449" si="12">E386/((F386/100)^2)</f>
        <v>23.481113465509232</v>
      </c>
      <c r="H386" t="s">
        <v>41</v>
      </c>
      <c r="I386" t="s">
        <v>217</v>
      </c>
      <c r="J386">
        <v>111</v>
      </c>
      <c r="K386">
        <v>66</v>
      </c>
      <c r="L386">
        <v>103</v>
      </c>
      <c r="M386">
        <v>7</v>
      </c>
      <c r="N386" s="5">
        <v>20619.55</v>
      </c>
      <c r="O386" t="s">
        <v>51</v>
      </c>
      <c r="P386" t="str">
        <f t="shared" ref="P386:P449" si="13">INDEX($U$2:$U$12,MATCH(O386,$T$2:$T$12,0))</f>
        <v>Hospital Central de Quelimane</v>
      </c>
      <c r="Q386" t="s">
        <v>24</v>
      </c>
      <c r="R386">
        <v>4</v>
      </c>
    </row>
    <row r="387" spans="1:18" x14ac:dyDescent="0.45">
      <c r="A387" t="s">
        <v>472</v>
      </c>
      <c r="B387" s="3">
        <v>45287</v>
      </c>
      <c r="C387">
        <v>21</v>
      </c>
      <c r="D387" t="s">
        <v>20</v>
      </c>
      <c r="E387">
        <v>41</v>
      </c>
      <c r="F387">
        <v>162</v>
      </c>
      <c r="G387" s="4">
        <f t="shared" si="12"/>
        <v>15.622618503276936</v>
      </c>
      <c r="H387" t="s">
        <v>21</v>
      </c>
      <c r="I387" t="s">
        <v>89</v>
      </c>
      <c r="J387">
        <v>147</v>
      </c>
      <c r="K387">
        <v>93</v>
      </c>
      <c r="L387">
        <v>98</v>
      </c>
      <c r="M387">
        <v>2</v>
      </c>
      <c r="N387" s="5">
        <v>8690.07</v>
      </c>
      <c r="O387" t="s">
        <v>52</v>
      </c>
      <c r="P387" t="str">
        <f t="shared" si="13"/>
        <v>Hospital Provincial de Chimoio</v>
      </c>
      <c r="Q387" t="s">
        <v>24</v>
      </c>
      <c r="R387">
        <v>5</v>
      </c>
    </row>
    <row r="388" spans="1:18" x14ac:dyDescent="0.45">
      <c r="A388" t="s">
        <v>473</v>
      </c>
      <c r="B388" s="3">
        <v>45471</v>
      </c>
      <c r="C388">
        <v>45</v>
      </c>
      <c r="D388" t="s">
        <v>20</v>
      </c>
      <c r="E388">
        <v>76.2</v>
      </c>
      <c r="F388">
        <v>160.69999999999999</v>
      </c>
      <c r="G388" s="4">
        <f t="shared" si="12"/>
        <v>29.506875063166785</v>
      </c>
      <c r="H388" t="s">
        <v>91</v>
      </c>
      <c r="I388" t="s">
        <v>110</v>
      </c>
      <c r="J388">
        <v>111</v>
      </c>
      <c r="K388">
        <v>66</v>
      </c>
      <c r="L388">
        <v>106</v>
      </c>
      <c r="M388">
        <v>6</v>
      </c>
      <c r="N388" s="5">
        <v>20130.93</v>
      </c>
      <c r="O388" t="s">
        <v>51</v>
      </c>
      <c r="P388" t="str">
        <f t="shared" si="13"/>
        <v>Hospital Central de Quelimane</v>
      </c>
      <c r="Q388" t="s">
        <v>24</v>
      </c>
      <c r="R388">
        <v>5</v>
      </c>
    </row>
    <row r="389" spans="1:18" x14ac:dyDescent="0.45">
      <c r="A389" t="s">
        <v>474</v>
      </c>
      <c r="B389" s="3">
        <v>44956</v>
      </c>
      <c r="C389">
        <v>4</v>
      </c>
      <c r="D389" t="s">
        <v>20</v>
      </c>
      <c r="E389">
        <v>30.4</v>
      </c>
      <c r="F389">
        <v>99.2</v>
      </c>
      <c r="G389" s="4">
        <f t="shared" si="12"/>
        <v>30.892299687825183</v>
      </c>
      <c r="H389" t="s">
        <v>28</v>
      </c>
      <c r="I389" t="s">
        <v>75</v>
      </c>
      <c r="J389">
        <v>114</v>
      </c>
      <c r="K389">
        <v>69</v>
      </c>
      <c r="L389">
        <v>87</v>
      </c>
      <c r="M389">
        <v>1</v>
      </c>
      <c r="N389" s="5">
        <v>3950.65</v>
      </c>
      <c r="O389" t="s">
        <v>31</v>
      </c>
      <c r="P389" t="str">
        <f t="shared" si="13"/>
        <v>Hospital Provincial da Matola</v>
      </c>
      <c r="Q389" t="s">
        <v>24</v>
      </c>
      <c r="R389">
        <v>4</v>
      </c>
    </row>
    <row r="390" spans="1:18" x14ac:dyDescent="0.45">
      <c r="A390" t="s">
        <v>475</v>
      </c>
      <c r="B390" s="3">
        <v>45534</v>
      </c>
      <c r="C390">
        <v>29</v>
      </c>
      <c r="D390" t="s">
        <v>20</v>
      </c>
      <c r="E390">
        <v>66.7</v>
      </c>
      <c r="F390">
        <v>170.3</v>
      </c>
      <c r="G390" s="4">
        <f t="shared" si="12"/>
        <v>22.998342533245015</v>
      </c>
      <c r="H390" t="s">
        <v>41</v>
      </c>
      <c r="I390" t="s">
        <v>42</v>
      </c>
      <c r="J390">
        <v>116</v>
      </c>
      <c r="K390">
        <v>72</v>
      </c>
      <c r="L390">
        <v>106</v>
      </c>
      <c r="M390">
        <v>3</v>
      </c>
      <c r="N390" s="5">
        <v>6759.03</v>
      </c>
      <c r="O390" t="s">
        <v>23</v>
      </c>
      <c r="P390" t="str">
        <f t="shared" si="13"/>
        <v>Hospital Central de Maputo</v>
      </c>
      <c r="Q390" t="s">
        <v>24</v>
      </c>
      <c r="R390">
        <v>5</v>
      </c>
    </row>
    <row r="391" spans="1:18" x14ac:dyDescent="0.45">
      <c r="A391" t="s">
        <v>476</v>
      </c>
      <c r="B391" s="3">
        <v>45211</v>
      </c>
      <c r="C391">
        <v>54</v>
      </c>
      <c r="D391" t="s">
        <v>27</v>
      </c>
      <c r="E391">
        <v>63.9</v>
      </c>
      <c r="F391">
        <v>159.6</v>
      </c>
      <c r="G391" s="4">
        <f t="shared" si="12"/>
        <v>25.086211770026573</v>
      </c>
      <c r="H391" t="s">
        <v>91</v>
      </c>
      <c r="I391" t="s">
        <v>110</v>
      </c>
      <c r="J391">
        <v>130</v>
      </c>
      <c r="K391">
        <v>71</v>
      </c>
      <c r="L391">
        <v>65</v>
      </c>
      <c r="M391">
        <v>13</v>
      </c>
      <c r="N391" s="5">
        <v>19773.48</v>
      </c>
      <c r="O391" t="s">
        <v>23</v>
      </c>
      <c r="P391" t="str">
        <f t="shared" si="13"/>
        <v>Hospital Central de Maputo</v>
      </c>
      <c r="Q391" t="s">
        <v>24</v>
      </c>
      <c r="R391">
        <v>5</v>
      </c>
    </row>
    <row r="392" spans="1:18" x14ac:dyDescent="0.45">
      <c r="A392" t="s">
        <v>477</v>
      </c>
      <c r="B392" s="3">
        <v>45443</v>
      </c>
      <c r="C392">
        <v>33</v>
      </c>
      <c r="D392" t="s">
        <v>27</v>
      </c>
      <c r="E392">
        <v>75.2</v>
      </c>
      <c r="F392">
        <v>142</v>
      </c>
      <c r="G392" s="4">
        <f t="shared" si="12"/>
        <v>37.294187661178341</v>
      </c>
      <c r="H392" t="s">
        <v>91</v>
      </c>
      <c r="I392" t="s">
        <v>110</v>
      </c>
      <c r="J392">
        <v>117</v>
      </c>
      <c r="K392">
        <v>77</v>
      </c>
      <c r="L392">
        <v>80</v>
      </c>
      <c r="M392">
        <v>1</v>
      </c>
      <c r="N392" s="5">
        <v>4811.84</v>
      </c>
      <c r="O392" t="s">
        <v>23</v>
      </c>
      <c r="P392" t="str">
        <f t="shared" si="13"/>
        <v>Hospital Central de Maputo</v>
      </c>
      <c r="Q392" t="s">
        <v>24</v>
      </c>
      <c r="R392">
        <v>3</v>
      </c>
    </row>
    <row r="393" spans="1:18" x14ac:dyDescent="0.45">
      <c r="A393" t="s">
        <v>478</v>
      </c>
      <c r="B393" s="3">
        <v>45296</v>
      </c>
      <c r="C393">
        <v>46</v>
      </c>
      <c r="D393" t="s">
        <v>27</v>
      </c>
      <c r="E393">
        <v>70.900000000000006</v>
      </c>
      <c r="F393">
        <v>172.1</v>
      </c>
      <c r="G393" s="4">
        <f t="shared" si="12"/>
        <v>23.937814352627306</v>
      </c>
      <c r="H393" t="s">
        <v>55</v>
      </c>
      <c r="I393" t="s">
        <v>80</v>
      </c>
      <c r="J393">
        <v>108</v>
      </c>
      <c r="K393">
        <v>71</v>
      </c>
      <c r="L393">
        <v>88</v>
      </c>
      <c r="M393">
        <v>7</v>
      </c>
      <c r="N393" s="5">
        <v>13299.14</v>
      </c>
      <c r="O393" t="s">
        <v>36</v>
      </c>
      <c r="P393" t="str">
        <f t="shared" si="13"/>
        <v>Hospital Provincial de Lichinga</v>
      </c>
      <c r="Q393" t="s">
        <v>24</v>
      </c>
      <c r="R393">
        <v>5</v>
      </c>
    </row>
    <row r="394" spans="1:18" x14ac:dyDescent="0.45">
      <c r="A394" t="s">
        <v>479</v>
      </c>
      <c r="B394" s="3">
        <v>45414</v>
      </c>
      <c r="C394">
        <v>15</v>
      </c>
      <c r="D394" t="s">
        <v>27</v>
      </c>
      <c r="E394">
        <v>52.4</v>
      </c>
      <c r="F394">
        <v>149.30000000000001</v>
      </c>
      <c r="G394" s="4">
        <f t="shared" si="12"/>
        <v>23.507782915494452</v>
      </c>
      <c r="H394" t="s">
        <v>28</v>
      </c>
      <c r="I394" t="s">
        <v>29</v>
      </c>
      <c r="J394">
        <v>114</v>
      </c>
      <c r="K394">
        <v>69</v>
      </c>
      <c r="L394">
        <v>79</v>
      </c>
      <c r="M394">
        <v>2</v>
      </c>
      <c r="N394" s="5">
        <v>8627.64</v>
      </c>
      <c r="O394" t="s">
        <v>51</v>
      </c>
      <c r="P394" t="str">
        <f t="shared" si="13"/>
        <v>Hospital Central de Quelimane</v>
      </c>
      <c r="Q394" t="s">
        <v>37</v>
      </c>
      <c r="R394">
        <v>3</v>
      </c>
    </row>
    <row r="395" spans="1:18" x14ac:dyDescent="0.45">
      <c r="A395" t="s">
        <v>480</v>
      </c>
      <c r="B395" s="3">
        <v>45299</v>
      </c>
      <c r="C395">
        <v>18</v>
      </c>
      <c r="D395" t="s">
        <v>20</v>
      </c>
      <c r="E395">
        <v>65.400000000000006</v>
      </c>
      <c r="F395">
        <v>147.5</v>
      </c>
      <c r="G395" s="4">
        <f t="shared" si="12"/>
        <v>30.060327492099972</v>
      </c>
      <c r="H395" t="s">
        <v>91</v>
      </c>
      <c r="I395" t="s">
        <v>92</v>
      </c>
      <c r="J395">
        <v>119</v>
      </c>
      <c r="K395">
        <v>63</v>
      </c>
      <c r="L395">
        <v>87</v>
      </c>
      <c r="M395">
        <v>5</v>
      </c>
      <c r="N395" s="5">
        <v>14271.51</v>
      </c>
      <c r="O395" t="s">
        <v>63</v>
      </c>
      <c r="P395" t="str">
        <f t="shared" si="13"/>
        <v>Hospital Central de Nampula</v>
      </c>
      <c r="Q395" t="s">
        <v>202</v>
      </c>
      <c r="R395">
        <v>4</v>
      </c>
    </row>
    <row r="396" spans="1:18" x14ac:dyDescent="0.45">
      <c r="A396" t="s">
        <v>481</v>
      </c>
      <c r="B396" s="3">
        <v>45609</v>
      </c>
      <c r="C396">
        <v>28</v>
      </c>
      <c r="D396" t="s">
        <v>27</v>
      </c>
      <c r="E396">
        <v>71.099999999999994</v>
      </c>
      <c r="F396">
        <v>162.6</v>
      </c>
      <c r="G396" s="4">
        <f t="shared" si="12"/>
        <v>26.892335344017649</v>
      </c>
      <c r="H396" t="s">
        <v>34</v>
      </c>
      <c r="I396" t="s">
        <v>35</v>
      </c>
      <c r="J396">
        <v>116</v>
      </c>
      <c r="K396">
        <v>63</v>
      </c>
      <c r="L396">
        <v>89</v>
      </c>
      <c r="M396">
        <v>1</v>
      </c>
      <c r="N396" s="5">
        <v>1892.93</v>
      </c>
      <c r="O396" t="s">
        <v>23</v>
      </c>
      <c r="P396" t="str">
        <f t="shared" si="13"/>
        <v>Hospital Central de Maputo</v>
      </c>
      <c r="Q396" t="s">
        <v>24</v>
      </c>
      <c r="R396">
        <v>5</v>
      </c>
    </row>
    <row r="397" spans="1:18" x14ac:dyDescent="0.45">
      <c r="A397" t="s">
        <v>482</v>
      </c>
      <c r="B397" s="3">
        <v>45318</v>
      </c>
      <c r="C397">
        <v>3</v>
      </c>
      <c r="D397" t="s">
        <v>27</v>
      </c>
      <c r="E397">
        <v>13.7</v>
      </c>
      <c r="F397">
        <v>89.6</v>
      </c>
      <c r="G397" s="4">
        <f t="shared" si="12"/>
        <v>17.064931441326532</v>
      </c>
      <c r="H397" t="s">
        <v>28</v>
      </c>
      <c r="I397" t="s">
        <v>29</v>
      </c>
      <c r="J397">
        <v>87</v>
      </c>
      <c r="K397">
        <v>55</v>
      </c>
      <c r="L397">
        <v>80</v>
      </c>
      <c r="M397">
        <v>2</v>
      </c>
      <c r="N397" s="5">
        <v>7404.61</v>
      </c>
      <c r="O397" t="s">
        <v>52</v>
      </c>
      <c r="P397" t="str">
        <f t="shared" si="13"/>
        <v>Hospital Provincial de Chimoio</v>
      </c>
      <c r="Q397" t="s">
        <v>24</v>
      </c>
      <c r="R397">
        <v>5</v>
      </c>
    </row>
    <row r="398" spans="1:18" x14ac:dyDescent="0.45">
      <c r="A398" t="s">
        <v>483</v>
      </c>
      <c r="B398" s="3">
        <v>45367</v>
      </c>
      <c r="C398">
        <v>57</v>
      </c>
      <c r="D398" t="s">
        <v>20</v>
      </c>
      <c r="E398">
        <v>53.6</v>
      </c>
      <c r="F398">
        <v>168.9</v>
      </c>
      <c r="G398" s="4">
        <f t="shared" si="12"/>
        <v>18.789078917987421</v>
      </c>
      <c r="H398" t="s">
        <v>91</v>
      </c>
      <c r="I398" t="s">
        <v>116</v>
      </c>
      <c r="J398">
        <v>130</v>
      </c>
      <c r="K398">
        <v>81</v>
      </c>
      <c r="L398">
        <v>74</v>
      </c>
      <c r="M398">
        <v>8</v>
      </c>
      <c r="N398" s="5">
        <v>12155.37</v>
      </c>
      <c r="O398" t="s">
        <v>30</v>
      </c>
      <c r="P398" t="str">
        <f t="shared" si="13"/>
        <v>Hospital Provincial de Inhambane</v>
      </c>
      <c r="Q398" t="s">
        <v>24</v>
      </c>
      <c r="R398">
        <v>5</v>
      </c>
    </row>
    <row r="399" spans="1:18" x14ac:dyDescent="0.45">
      <c r="A399" t="s">
        <v>484</v>
      </c>
      <c r="B399" s="3">
        <v>45509</v>
      </c>
      <c r="C399">
        <v>18</v>
      </c>
      <c r="D399" t="s">
        <v>27</v>
      </c>
      <c r="E399">
        <v>67.599999999999994</v>
      </c>
      <c r="F399">
        <v>145.5</v>
      </c>
      <c r="G399" s="4">
        <f t="shared" si="12"/>
        <v>31.931602130348004</v>
      </c>
      <c r="H399" t="s">
        <v>46</v>
      </c>
      <c r="I399" t="s">
        <v>66</v>
      </c>
      <c r="J399">
        <v>95</v>
      </c>
      <c r="K399">
        <v>58</v>
      </c>
      <c r="L399">
        <v>65</v>
      </c>
      <c r="M399">
        <v>3</v>
      </c>
      <c r="N399" s="5">
        <v>8765.2000000000007</v>
      </c>
      <c r="O399" t="s">
        <v>30</v>
      </c>
      <c r="P399" t="str">
        <f t="shared" si="13"/>
        <v>Hospital Provincial de Inhambane</v>
      </c>
      <c r="Q399" t="s">
        <v>24</v>
      </c>
      <c r="R399">
        <v>2</v>
      </c>
    </row>
    <row r="400" spans="1:18" x14ac:dyDescent="0.45">
      <c r="A400" t="s">
        <v>485</v>
      </c>
      <c r="B400" s="3">
        <v>45302</v>
      </c>
      <c r="C400">
        <v>27</v>
      </c>
      <c r="D400" t="s">
        <v>27</v>
      </c>
      <c r="E400">
        <v>47.3</v>
      </c>
      <c r="F400">
        <v>164.2</v>
      </c>
      <c r="G400" s="4">
        <f t="shared" si="12"/>
        <v>17.543443203009907</v>
      </c>
      <c r="H400" t="s">
        <v>99</v>
      </c>
      <c r="I400" t="s">
        <v>105</v>
      </c>
      <c r="J400">
        <v>101</v>
      </c>
      <c r="K400">
        <v>66</v>
      </c>
      <c r="L400">
        <v>107</v>
      </c>
      <c r="M400">
        <v>1</v>
      </c>
      <c r="N400" s="5">
        <v>2789.05</v>
      </c>
      <c r="O400" t="s">
        <v>30</v>
      </c>
      <c r="P400" t="str">
        <f t="shared" si="13"/>
        <v>Hospital Provincial de Inhambane</v>
      </c>
      <c r="Q400" t="s">
        <v>24</v>
      </c>
      <c r="R400">
        <v>4</v>
      </c>
    </row>
    <row r="401" spans="1:18" x14ac:dyDescent="0.45">
      <c r="A401" t="s">
        <v>486</v>
      </c>
      <c r="B401" s="3">
        <v>45239</v>
      </c>
      <c r="C401">
        <v>37</v>
      </c>
      <c r="D401" t="s">
        <v>20</v>
      </c>
      <c r="E401">
        <v>63.2</v>
      </c>
      <c r="F401">
        <v>160.6</v>
      </c>
      <c r="G401" s="4">
        <f t="shared" si="12"/>
        <v>24.503380070687605</v>
      </c>
      <c r="H401" t="s">
        <v>91</v>
      </c>
      <c r="I401" t="s">
        <v>92</v>
      </c>
      <c r="J401">
        <v>107</v>
      </c>
      <c r="K401">
        <v>61</v>
      </c>
      <c r="L401">
        <v>70</v>
      </c>
      <c r="M401">
        <v>1</v>
      </c>
      <c r="N401" s="5">
        <v>2649.24</v>
      </c>
      <c r="O401" t="s">
        <v>30</v>
      </c>
      <c r="P401" t="str">
        <f t="shared" si="13"/>
        <v>Hospital Provincial de Inhambane</v>
      </c>
      <c r="Q401" t="s">
        <v>24</v>
      </c>
      <c r="R401">
        <v>4</v>
      </c>
    </row>
    <row r="402" spans="1:18" x14ac:dyDescent="0.45">
      <c r="A402" t="s">
        <v>487</v>
      </c>
      <c r="B402" s="3">
        <v>45027</v>
      </c>
      <c r="C402">
        <v>36</v>
      </c>
      <c r="D402" t="s">
        <v>27</v>
      </c>
      <c r="E402">
        <v>76.2</v>
      </c>
      <c r="F402">
        <v>157.5</v>
      </c>
      <c r="G402" s="4">
        <f t="shared" si="12"/>
        <v>30.718065003779291</v>
      </c>
      <c r="H402" t="s">
        <v>21</v>
      </c>
      <c r="I402" t="s">
        <v>70</v>
      </c>
      <c r="J402">
        <v>115</v>
      </c>
      <c r="K402">
        <v>65</v>
      </c>
      <c r="L402">
        <v>86</v>
      </c>
      <c r="M402">
        <v>2</v>
      </c>
      <c r="N402" s="5">
        <v>7312.71</v>
      </c>
      <c r="O402" t="s">
        <v>63</v>
      </c>
      <c r="P402" t="str">
        <f t="shared" si="13"/>
        <v>Hospital Central de Nampula</v>
      </c>
      <c r="Q402" t="s">
        <v>37</v>
      </c>
      <c r="R402">
        <v>4</v>
      </c>
    </row>
    <row r="403" spans="1:18" x14ac:dyDescent="0.45">
      <c r="A403" t="s">
        <v>488</v>
      </c>
      <c r="B403" s="3">
        <v>45221</v>
      </c>
      <c r="C403">
        <v>27</v>
      </c>
      <c r="D403" t="s">
        <v>27</v>
      </c>
      <c r="E403">
        <v>48.2</v>
      </c>
      <c r="F403">
        <v>167.2</v>
      </c>
      <c r="G403" s="4">
        <f t="shared" si="12"/>
        <v>17.241477988141298</v>
      </c>
      <c r="H403" t="s">
        <v>21</v>
      </c>
      <c r="I403" t="s">
        <v>89</v>
      </c>
      <c r="J403">
        <v>154</v>
      </c>
      <c r="K403">
        <v>92</v>
      </c>
      <c r="L403">
        <v>67</v>
      </c>
      <c r="M403">
        <v>1</v>
      </c>
      <c r="N403" s="5">
        <v>4449.08</v>
      </c>
      <c r="O403" t="s">
        <v>43</v>
      </c>
      <c r="P403" t="str">
        <f t="shared" si="13"/>
        <v>Hospital Central da Beira</v>
      </c>
      <c r="Q403" t="s">
        <v>24</v>
      </c>
      <c r="R403">
        <v>2</v>
      </c>
    </row>
    <row r="404" spans="1:18" x14ac:dyDescent="0.45">
      <c r="A404" t="s">
        <v>489</v>
      </c>
      <c r="B404" s="3">
        <v>45236</v>
      </c>
      <c r="C404">
        <v>27</v>
      </c>
      <c r="D404" t="s">
        <v>27</v>
      </c>
      <c r="E404">
        <v>75.599999999999994</v>
      </c>
      <c r="F404">
        <v>165.8</v>
      </c>
      <c r="G404" s="4">
        <f t="shared" si="12"/>
        <v>27.501269569190423</v>
      </c>
      <c r="H404" t="s">
        <v>41</v>
      </c>
      <c r="I404" t="s">
        <v>42</v>
      </c>
      <c r="J404">
        <v>101</v>
      </c>
      <c r="K404">
        <v>57</v>
      </c>
      <c r="L404">
        <v>89</v>
      </c>
      <c r="M404">
        <v>1</v>
      </c>
      <c r="N404" s="5">
        <v>5792.06</v>
      </c>
      <c r="O404" t="s">
        <v>57</v>
      </c>
      <c r="P404" t="str">
        <f t="shared" si="13"/>
        <v>Hospital Provincial de Tete</v>
      </c>
      <c r="Q404" t="s">
        <v>24</v>
      </c>
      <c r="R404">
        <v>5</v>
      </c>
    </row>
    <row r="405" spans="1:18" x14ac:dyDescent="0.45">
      <c r="A405" t="s">
        <v>490</v>
      </c>
      <c r="B405" s="3">
        <v>45405</v>
      </c>
      <c r="C405">
        <v>27</v>
      </c>
      <c r="D405" t="s">
        <v>27</v>
      </c>
      <c r="E405">
        <v>56.3</v>
      </c>
      <c r="F405">
        <v>176.3</v>
      </c>
      <c r="G405" s="4">
        <f t="shared" si="12"/>
        <v>18.113558175247224</v>
      </c>
      <c r="H405" t="s">
        <v>34</v>
      </c>
      <c r="I405" t="s">
        <v>35</v>
      </c>
      <c r="J405">
        <v>118</v>
      </c>
      <c r="K405">
        <v>74</v>
      </c>
      <c r="L405">
        <v>75</v>
      </c>
      <c r="M405">
        <v>5</v>
      </c>
      <c r="N405" s="5">
        <v>16520.37</v>
      </c>
      <c r="O405" t="s">
        <v>43</v>
      </c>
      <c r="P405" t="str">
        <f t="shared" si="13"/>
        <v>Hospital Central da Beira</v>
      </c>
      <c r="Q405" t="s">
        <v>37</v>
      </c>
      <c r="R405">
        <v>5</v>
      </c>
    </row>
    <row r="406" spans="1:18" x14ac:dyDescent="0.45">
      <c r="A406" t="s">
        <v>491</v>
      </c>
      <c r="B406" s="3">
        <v>45576</v>
      </c>
      <c r="C406">
        <v>28</v>
      </c>
      <c r="D406" t="s">
        <v>27</v>
      </c>
      <c r="E406">
        <v>48.5</v>
      </c>
      <c r="F406">
        <v>168.8</v>
      </c>
      <c r="G406" s="4">
        <f t="shared" si="12"/>
        <v>17.021461782080362</v>
      </c>
      <c r="H406" t="s">
        <v>99</v>
      </c>
      <c r="I406" t="s">
        <v>151</v>
      </c>
      <c r="J406">
        <v>110</v>
      </c>
      <c r="K406">
        <v>76</v>
      </c>
      <c r="L406">
        <v>81</v>
      </c>
      <c r="M406">
        <v>1</v>
      </c>
      <c r="N406" s="5">
        <v>4629.26</v>
      </c>
      <c r="O406" t="s">
        <v>43</v>
      </c>
      <c r="P406" t="str">
        <f t="shared" si="13"/>
        <v>Hospital Central da Beira</v>
      </c>
      <c r="Q406" t="s">
        <v>24</v>
      </c>
      <c r="R406">
        <v>4</v>
      </c>
    </row>
    <row r="407" spans="1:18" x14ac:dyDescent="0.45">
      <c r="A407" t="s">
        <v>492</v>
      </c>
      <c r="B407" s="3">
        <v>45589</v>
      </c>
      <c r="C407">
        <v>8</v>
      </c>
      <c r="D407" t="s">
        <v>20</v>
      </c>
      <c r="E407">
        <v>41.4</v>
      </c>
      <c r="F407">
        <v>111.6</v>
      </c>
      <c r="G407" s="4">
        <f t="shared" si="12"/>
        <v>33.240837090993189</v>
      </c>
      <c r="H407" t="s">
        <v>28</v>
      </c>
      <c r="I407" t="s">
        <v>75</v>
      </c>
      <c r="J407">
        <v>107</v>
      </c>
      <c r="K407">
        <v>65</v>
      </c>
      <c r="L407">
        <v>109</v>
      </c>
      <c r="M407">
        <v>4</v>
      </c>
      <c r="N407" s="5">
        <v>6828.21</v>
      </c>
      <c r="O407" t="s">
        <v>63</v>
      </c>
      <c r="P407" t="str">
        <f t="shared" si="13"/>
        <v>Hospital Central de Nampula</v>
      </c>
      <c r="Q407" t="s">
        <v>24</v>
      </c>
      <c r="R407">
        <v>5</v>
      </c>
    </row>
    <row r="408" spans="1:18" x14ac:dyDescent="0.45">
      <c r="A408" t="s">
        <v>493</v>
      </c>
      <c r="B408" s="3">
        <v>45248</v>
      </c>
      <c r="C408">
        <v>33</v>
      </c>
      <c r="D408" t="s">
        <v>27</v>
      </c>
      <c r="E408">
        <v>52.2</v>
      </c>
      <c r="F408">
        <v>157.6</v>
      </c>
      <c r="G408" s="4">
        <f t="shared" si="12"/>
        <v>21.016387951248429</v>
      </c>
      <c r="H408" t="s">
        <v>99</v>
      </c>
      <c r="I408" t="s">
        <v>151</v>
      </c>
      <c r="J408">
        <v>91</v>
      </c>
      <c r="K408">
        <v>55</v>
      </c>
      <c r="L408">
        <v>110</v>
      </c>
      <c r="M408">
        <v>7</v>
      </c>
      <c r="N408" s="5">
        <v>12470.28</v>
      </c>
      <c r="O408" t="s">
        <v>52</v>
      </c>
      <c r="P408" t="str">
        <f t="shared" si="13"/>
        <v>Hospital Provincial de Chimoio</v>
      </c>
      <c r="Q408" t="s">
        <v>24</v>
      </c>
      <c r="R408">
        <v>4</v>
      </c>
    </row>
    <row r="409" spans="1:18" x14ac:dyDescent="0.45">
      <c r="A409" t="s">
        <v>494</v>
      </c>
      <c r="B409" s="3">
        <v>45521</v>
      </c>
      <c r="C409">
        <v>57</v>
      </c>
      <c r="D409" t="s">
        <v>27</v>
      </c>
      <c r="E409">
        <v>56.4</v>
      </c>
      <c r="F409">
        <v>169.5</v>
      </c>
      <c r="G409" s="4">
        <f t="shared" si="12"/>
        <v>19.630876863236484</v>
      </c>
      <c r="H409" t="s">
        <v>41</v>
      </c>
      <c r="I409" t="s">
        <v>42</v>
      </c>
      <c r="J409">
        <v>136</v>
      </c>
      <c r="K409">
        <v>76</v>
      </c>
      <c r="L409">
        <v>110</v>
      </c>
      <c r="M409">
        <v>1</v>
      </c>
      <c r="N409" s="5">
        <v>2919.86</v>
      </c>
      <c r="O409" t="s">
        <v>31</v>
      </c>
      <c r="P409" t="str">
        <f t="shared" si="13"/>
        <v>Hospital Provincial da Matola</v>
      </c>
      <c r="Q409" t="s">
        <v>76</v>
      </c>
      <c r="R409">
        <v>4</v>
      </c>
    </row>
    <row r="410" spans="1:18" x14ac:dyDescent="0.45">
      <c r="A410" t="s">
        <v>495</v>
      </c>
      <c r="B410" s="3">
        <v>45187</v>
      </c>
      <c r="C410">
        <v>18</v>
      </c>
      <c r="D410" t="s">
        <v>20</v>
      </c>
      <c r="E410">
        <v>50.9</v>
      </c>
      <c r="F410">
        <v>178.5</v>
      </c>
      <c r="G410" s="4">
        <f t="shared" si="12"/>
        <v>15.975017457963578</v>
      </c>
      <c r="H410" t="s">
        <v>41</v>
      </c>
      <c r="I410" t="s">
        <v>42</v>
      </c>
      <c r="J410">
        <v>103</v>
      </c>
      <c r="K410">
        <v>63</v>
      </c>
      <c r="L410">
        <v>102</v>
      </c>
      <c r="M410">
        <v>6</v>
      </c>
      <c r="N410" s="5">
        <v>9472.9699999999993</v>
      </c>
      <c r="O410" t="s">
        <v>30</v>
      </c>
      <c r="P410" t="str">
        <f t="shared" si="13"/>
        <v>Hospital Provincial de Inhambane</v>
      </c>
      <c r="Q410" t="s">
        <v>24</v>
      </c>
      <c r="R410">
        <v>4</v>
      </c>
    </row>
    <row r="411" spans="1:18" x14ac:dyDescent="0.45">
      <c r="A411" t="s">
        <v>496</v>
      </c>
      <c r="B411" s="3">
        <v>45547</v>
      </c>
      <c r="C411">
        <v>17</v>
      </c>
      <c r="D411" t="s">
        <v>27</v>
      </c>
      <c r="E411">
        <v>63.8</v>
      </c>
      <c r="F411">
        <v>144.80000000000001</v>
      </c>
      <c r="G411" s="4">
        <f t="shared" si="12"/>
        <v>30.428710967308685</v>
      </c>
      <c r="H411" t="s">
        <v>99</v>
      </c>
      <c r="I411" t="s">
        <v>103</v>
      </c>
      <c r="J411">
        <v>118</v>
      </c>
      <c r="K411">
        <v>67</v>
      </c>
      <c r="L411">
        <v>66</v>
      </c>
      <c r="M411">
        <v>9</v>
      </c>
      <c r="N411" s="5">
        <v>24542.86</v>
      </c>
      <c r="O411" t="s">
        <v>31</v>
      </c>
      <c r="P411" t="str">
        <f t="shared" si="13"/>
        <v>Hospital Provincial da Matola</v>
      </c>
      <c r="Q411" t="s">
        <v>24</v>
      </c>
      <c r="R411">
        <v>1</v>
      </c>
    </row>
    <row r="412" spans="1:18" x14ac:dyDescent="0.45">
      <c r="A412" t="s">
        <v>497</v>
      </c>
      <c r="B412" s="3">
        <v>45329</v>
      </c>
      <c r="C412">
        <v>64</v>
      </c>
      <c r="D412" t="s">
        <v>27</v>
      </c>
      <c r="E412">
        <v>70.2</v>
      </c>
      <c r="F412">
        <v>157.1</v>
      </c>
      <c r="G412" s="4">
        <f t="shared" si="12"/>
        <v>28.443611755234215</v>
      </c>
      <c r="H412" t="s">
        <v>91</v>
      </c>
      <c r="I412" t="s">
        <v>116</v>
      </c>
      <c r="J412">
        <v>150</v>
      </c>
      <c r="K412">
        <v>100</v>
      </c>
      <c r="L412">
        <v>79</v>
      </c>
      <c r="M412">
        <v>8</v>
      </c>
      <c r="N412" s="5">
        <v>23167.53</v>
      </c>
      <c r="O412" t="s">
        <v>23</v>
      </c>
      <c r="P412" t="str">
        <f t="shared" si="13"/>
        <v>Hospital Central de Maputo</v>
      </c>
      <c r="Q412" t="s">
        <v>37</v>
      </c>
      <c r="R412">
        <v>5</v>
      </c>
    </row>
    <row r="413" spans="1:18" x14ac:dyDescent="0.45">
      <c r="A413" t="s">
        <v>498</v>
      </c>
      <c r="B413" s="3">
        <v>45430</v>
      </c>
      <c r="C413">
        <v>51</v>
      </c>
      <c r="D413" t="s">
        <v>27</v>
      </c>
      <c r="E413">
        <v>79.900000000000006</v>
      </c>
      <c r="F413">
        <v>159.4</v>
      </c>
      <c r="G413" s="4">
        <f t="shared" si="12"/>
        <v>31.446342857232818</v>
      </c>
      <c r="H413" t="s">
        <v>46</v>
      </c>
      <c r="I413" t="s">
        <v>66</v>
      </c>
      <c r="J413">
        <v>104</v>
      </c>
      <c r="K413">
        <v>68</v>
      </c>
      <c r="L413">
        <v>66</v>
      </c>
      <c r="M413">
        <v>2</v>
      </c>
      <c r="N413" s="5">
        <v>5885.1</v>
      </c>
      <c r="O413" t="s">
        <v>63</v>
      </c>
      <c r="P413" t="str">
        <f t="shared" si="13"/>
        <v>Hospital Central de Nampula</v>
      </c>
      <c r="Q413" t="s">
        <v>24</v>
      </c>
      <c r="R413">
        <v>4</v>
      </c>
    </row>
    <row r="414" spans="1:18" x14ac:dyDescent="0.45">
      <c r="A414" t="s">
        <v>499</v>
      </c>
      <c r="B414" s="3">
        <v>44955</v>
      </c>
      <c r="C414">
        <v>45</v>
      </c>
      <c r="D414" t="s">
        <v>20</v>
      </c>
      <c r="E414">
        <v>72</v>
      </c>
      <c r="F414">
        <v>171.9</v>
      </c>
      <c r="G414" s="4">
        <f t="shared" si="12"/>
        <v>24.365803812639147</v>
      </c>
      <c r="H414" t="s">
        <v>46</v>
      </c>
      <c r="I414" t="s">
        <v>94</v>
      </c>
      <c r="J414">
        <v>118</v>
      </c>
      <c r="K414">
        <v>70</v>
      </c>
      <c r="L414">
        <v>112</v>
      </c>
      <c r="M414">
        <v>1</v>
      </c>
      <c r="N414" s="5">
        <v>4286.1400000000003</v>
      </c>
      <c r="O414" t="s">
        <v>51</v>
      </c>
      <c r="P414" t="str">
        <f t="shared" si="13"/>
        <v>Hospital Central de Quelimane</v>
      </c>
      <c r="Q414" t="s">
        <v>24</v>
      </c>
      <c r="R414">
        <v>3</v>
      </c>
    </row>
    <row r="415" spans="1:18" x14ac:dyDescent="0.45">
      <c r="A415" t="s">
        <v>500</v>
      </c>
      <c r="B415" s="3">
        <v>45535</v>
      </c>
      <c r="C415">
        <v>29</v>
      </c>
      <c r="D415" t="s">
        <v>27</v>
      </c>
      <c r="E415">
        <v>62.8</v>
      </c>
      <c r="F415">
        <v>172.3</v>
      </c>
      <c r="G415" s="4">
        <f t="shared" si="12"/>
        <v>21.153833846066782</v>
      </c>
      <c r="H415" t="s">
        <v>46</v>
      </c>
      <c r="I415" t="s">
        <v>94</v>
      </c>
      <c r="J415">
        <v>129</v>
      </c>
      <c r="K415">
        <v>84</v>
      </c>
      <c r="L415">
        <v>65</v>
      </c>
      <c r="M415">
        <v>1</v>
      </c>
      <c r="N415" s="5">
        <v>3017.2</v>
      </c>
      <c r="O415" t="s">
        <v>63</v>
      </c>
      <c r="P415" t="str">
        <f t="shared" si="13"/>
        <v>Hospital Central de Nampula</v>
      </c>
      <c r="Q415" t="s">
        <v>202</v>
      </c>
      <c r="R415">
        <v>5</v>
      </c>
    </row>
    <row r="416" spans="1:18" x14ac:dyDescent="0.45">
      <c r="A416" t="s">
        <v>501</v>
      </c>
      <c r="B416" s="3">
        <v>45156</v>
      </c>
      <c r="C416">
        <v>59</v>
      </c>
      <c r="D416" t="s">
        <v>20</v>
      </c>
      <c r="E416">
        <v>91</v>
      </c>
      <c r="F416">
        <v>157</v>
      </c>
      <c r="G416" s="4">
        <f t="shared" si="12"/>
        <v>36.918333400949329</v>
      </c>
      <c r="H416" t="s">
        <v>34</v>
      </c>
      <c r="I416" t="s">
        <v>138</v>
      </c>
      <c r="J416">
        <v>105</v>
      </c>
      <c r="K416">
        <v>68</v>
      </c>
      <c r="L416">
        <v>118</v>
      </c>
      <c r="M416">
        <v>1</v>
      </c>
      <c r="N416" s="5">
        <v>3751.98</v>
      </c>
      <c r="O416" t="s">
        <v>38</v>
      </c>
      <c r="P416" t="str">
        <f t="shared" si="13"/>
        <v>Hospital Provincial de Xai-Xai</v>
      </c>
      <c r="Q416" t="s">
        <v>24</v>
      </c>
      <c r="R416">
        <v>4</v>
      </c>
    </row>
    <row r="417" spans="1:18" x14ac:dyDescent="0.45">
      <c r="A417" t="s">
        <v>502</v>
      </c>
      <c r="B417" s="3">
        <v>45507</v>
      </c>
      <c r="C417">
        <v>18</v>
      </c>
      <c r="D417" t="s">
        <v>20</v>
      </c>
      <c r="E417">
        <v>70.5</v>
      </c>
      <c r="F417">
        <v>160.5</v>
      </c>
      <c r="G417" s="4">
        <f t="shared" si="12"/>
        <v>27.367746819227296</v>
      </c>
      <c r="H417" t="s">
        <v>21</v>
      </c>
      <c r="I417" t="s">
        <v>89</v>
      </c>
      <c r="J417">
        <v>119</v>
      </c>
      <c r="K417">
        <v>74</v>
      </c>
      <c r="L417">
        <v>99</v>
      </c>
      <c r="M417">
        <v>11</v>
      </c>
      <c r="N417" s="5">
        <v>31904.560000000001</v>
      </c>
      <c r="O417" t="s">
        <v>51</v>
      </c>
      <c r="P417" t="str">
        <f t="shared" si="13"/>
        <v>Hospital Central de Quelimane</v>
      </c>
      <c r="Q417" t="s">
        <v>24</v>
      </c>
      <c r="R417">
        <v>4</v>
      </c>
    </row>
    <row r="418" spans="1:18" x14ac:dyDescent="0.45">
      <c r="A418" t="s">
        <v>503</v>
      </c>
      <c r="B418" s="3">
        <v>45138</v>
      </c>
      <c r="C418">
        <v>32</v>
      </c>
      <c r="D418" t="s">
        <v>20</v>
      </c>
      <c r="E418">
        <v>73</v>
      </c>
      <c r="F418">
        <v>176.2</v>
      </c>
      <c r="G418" s="4">
        <f t="shared" si="12"/>
        <v>23.513162861828931</v>
      </c>
      <c r="H418" t="s">
        <v>34</v>
      </c>
      <c r="I418" t="s">
        <v>35</v>
      </c>
      <c r="J418">
        <v>132</v>
      </c>
      <c r="K418">
        <v>97</v>
      </c>
      <c r="L418">
        <v>98</v>
      </c>
      <c r="M418">
        <v>1</v>
      </c>
      <c r="N418" s="5">
        <v>3307.03</v>
      </c>
      <c r="O418" t="s">
        <v>57</v>
      </c>
      <c r="P418" t="str">
        <f t="shared" si="13"/>
        <v>Hospital Provincial de Tete</v>
      </c>
      <c r="Q418" t="s">
        <v>24</v>
      </c>
      <c r="R418">
        <v>2</v>
      </c>
    </row>
    <row r="419" spans="1:18" x14ac:dyDescent="0.45">
      <c r="A419" t="s">
        <v>504</v>
      </c>
      <c r="B419" s="3">
        <v>45407</v>
      </c>
      <c r="C419">
        <v>34</v>
      </c>
      <c r="D419" t="s">
        <v>27</v>
      </c>
      <c r="E419">
        <v>59.7</v>
      </c>
      <c r="F419">
        <v>161.5</v>
      </c>
      <c r="G419" s="4">
        <f t="shared" si="12"/>
        <v>22.889129580461809</v>
      </c>
      <c r="H419" t="s">
        <v>99</v>
      </c>
      <c r="I419" t="s">
        <v>103</v>
      </c>
      <c r="J419">
        <v>95</v>
      </c>
      <c r="K419">
        <v>58</v>
      </c>
      <c r="L419">
        <v>75</v>
      </c>
      <c r="M419">
        <v>1</v>
      </c>
      <c r="N419" s="5">
        <v>2667</v>
      </c>
      <c r="O419" t="s">
        <v>31</v>
      </c>
      <c r="P419" t="str">
        <f t="shared" si="13"/>
        <v>Hospital Provincial da Matola</v>
      </c>
      <c r="Q419" t="s">
        <v>37</v>
      </c>
      <c r="R419">
        <v>5</v>
      </c>
    </row>
    <row r="420" spans="1:18" x14ac:dyDescent="0.45">
      <c r="A420" t="s">
        <v>505</v>
      </c>
      <c r="B420" s="3">
        <v>45613</v>
      </c>
      <c r="C420">
        <v>21</v>
      </c>
      <c r="D420" t="s">
        <v>20</v>
      </c>
      <c r="E420">
        <v>61</v>
      </c>
      <c r="F420">
        <v>162.69999999999999</v>
      </c>
      <c r="G420" s="4">
        <f t="shared" si="12"/>
        <v>23.043833526813398</v>
      </c>
      <c r="H420" t="s">
        <v>21</v>
      </c>
      <c r="I420" t="s">
        <v>89</v>
      </c>
      <c r="J420">
        <v>127</v>
      </c>
      <c r="K420">
        <v>80</v>
      </c>
      <c r="L420">
        <v>84</v>
      </c>
      <c r="M420">
        <v>1</v>
      </c>
      <c r="N420" s="5">
        <v>3418.5</v>
      </c>
      <c r="O420" t="s">
        <v>30</v>
      </c>
      <c r="P420" t="str">
        <f t="shared" si="13"/>
        <v>Hospital Provincial de Inhambane</v>
      </c>
      <c r="Q420" t="s">
        <v>24</v>
      </c>
      <c r="R420">
        <v>2</v>
      </c>
    </row>
    <row r="421" spans="1:18" x14ac:dyDescent="0.45">
      <c r="A421" t="s">
        <v>506</v>
      </c>
      <c r="B421" s="3">
        <v>45654</v>
      </c>
      <c r="C421">
        <v>3</v>
      </c>
      <c r="D421" t="s">
        <v>27</v>
      </c>
      <c r="E421">
        <v>25.4</v>
      </c>
      <c r="F421">
        <v>117.1</v>
      </c>
      <c r="G421" s="4">
        <f t="shared" si="12"/>
        <v>18.523366789645291</v>
      </c>
      <c r="H421" t="s">
        <v>28</v>
      </c>
      <c r="I421" t="s">
        <v>50</v>
      </c>
      <c r="J421">
        <v>116</v>
      </c>
      <c r="K421">
        <v>63</v>
      </c>
      <c r="L421">
        <v>85</v>
      </c>
      <c r="M421">
        <v>1</v>
      </c>
      <c r="N421" s="5">
        <v>5417.04</v>
      </c>
      <c r="O421" t="s">
        <v>51</v>
      </c>
      <c r="P421" t="str">
        <f t="shared" si="13"/>
        <v>Hospital Central de Quelimane</v>
      </c>
      <c r="Q421" t="s">
        <v>24</v>
      </c>
      <c r="R421">
        <v>4</v>
      </c>
    </row>
    <row r="422" spans="1:18" x14ac:dyDescent="0.45">
      <c r="A422" t="s">
        <v>507</v>
      </c>
      <c r="B422" s="3">
        <v>45095</v>
      </c>
      <c r="C422">
        <v>18</v>
      </c>
      <c r="D422" t="s">
        <v>27</v>
      </c>
      <c r="E422">
        <v>57.2</v>
      </c>
      <c r="F422">
        <v>163.4</v>
      </c>
      <c r="G422" s="4">
        <f t="shared" si="12"/>
        <v>21.423574021444544</v>
      </c>
      <c r="H422" t="s">
        <v>46</v>
      </c>
      <c r="I422" t="s">
        <v>66</v>
      </c>
      <c r="J422">
        <v>117</v>
      </c>
      <c r="K422">
        <v>65</v>
      </c>
      <c r="L422">
        <v>89</v>
      </c>
      <c r="M422">
        <v>1</v>
      </c>
      <c r="N422" s="5">
        <v>2139.85</v>
      </c>
      <c r="O422" t="s">
        <v>38</v>
      </c>
      <c r="P422" t="str">
        <f t="shared" si="13"/>
        <v>Hospital Provincial de Xai-Xai</v>
      </c>
      <c r="Q422" t="s">
        <v>24</v>
      </c>
      <c r="R422">
        <v>4</v>
      </c>
    </row>
    <row r="423" spans="1:18" x14ac:dyDescent="0.45">
      <c r="A423" t="s">
        <v>508</v>
      </c>
      <c r="B423" s="3">
        <v>45433</v>
      </c>
      <c r="C423">
        <v>32</v>
      </c>
      <c r="D423" t="s">
        <v>20</v>
      </c>
      <c r="E423">
        <v>65.5</v>
      </c>
      <c r="F423">
        <v>158.80000000000001</v>
      </c>
      <c r="G423" s="4">
        <f t="shared" si="12"/>
        <v>25.974087774175327</v>
      </c>
      <c r="H423" t="s">
        <v>41</v>
      </c>
      <c r="I423" t="s">
        <v>161</v>
      </c>
      <c r="J423">
        <v>111</v>
      </c>
      <c r="K423">
        <v>65</v>
      </c>
      <c r="L423">
        <v>82</v>
      </c>
      <c r="M423">
        <v>1</v>
      </c>
      <c r="N423" s="5">
        <v>5745.2</v>
      </c>
      <c r="O423" t="s">
        <v>63</v>
      </c>
      <c r="P423" t="str">
        <f t="shared" si="13"/>
        <v>Hospital Central de Nampula</v>
      </c>
      <c r="Q423" t="s">
        <v>24</v>
      </c>
      <c r="R423">
        <v>4</v>
      </c>
    </row>
    <row r="424" spans="1:18" x14ac:dyDescent="0.45">
      <c r="A424" t="s">
        <v>509</v>
      </c>
      <c r="B424" s="3">
        <v>45144</v>
      </c>
      <c r="C424">
        <v>47</v>
      </c>
      <c r="D424" t="s">
        <v>20</v>
      </c>
      <c r="E424">
        <v>66.400000000000006</v>
      </c>
      <c r="F424">
        <v>159.9</v>
      </c>
      <c r="G424" s="4">
        <f t="shared" si="12"/>
        <v>25.969952295857208</v>
      </c>
      <c r="H424" t="s">
        <v>41</v>
      </c>
      <c r="I424" t="s">
        <v>113</v>
      </c>
      <c r="J424">
        <v>145</v>
      </c>
      <c r="K424">
        <v>80</v>
      </c>
      <c r="L424">
        <v>93</v>
      </c>
      <c r="M424">
        <v>4</v>
      </c>
      <c r="N424" s="5">
        <v>11683.81</v>
      </c>
      <c r="O424" t="s">
        <v>57</v>
      </c>
      <c r="P424" t="str">
        <f t="shared" si="13"/>
        <v>Hospital Provincial de Tete</v>
      </c>
      <c r="Q424" t="s">
        <v>202</v>
      </c>
      <c r="R424">
        <v>5</v>
      </c>
    </row>
    <row r="425" spans="1:18" x14ac:dyDescent="0.45">
      <c r="A425" t="s">
        <v>510</v>
      </c>
      <c r="B425" s="3">
        <v>45084</v>
      </c>
      <c r="C425">
        <v>35</v>
      </c>
      <c r="D425" t="s">
        <v>20</v>
      </c>
      <c r="E425">
        <v>72.5</v>
      </c>
      <c r="F425">
        <v>141.5</v>
      </c>
      <c r="G425" s="4">
        <f t="shared" si="12"/>
        <v>36.209716690182169</v>
      </c>
      <c r="H425" t="s">
        <v>21</v>
      </c>
      <c r="I425" t="s">
        <v>89</v>
      </c>
      <c r="J425">
        <v>137</v>
      </c>
      <c r="K425">
        <v>84</v>
      </c>
      <c r="L425">
        <v>115</v>
      </c>
      <c r="M425">
        <v>12</v>
      </c>
      <c r="N425" s="5">
        <v>22635.46</v>
      </c>
      <c r="O425" t="s">
        <v>51</v>
      </c>
      <c r="P425" t="str">
        <f t="shared" si="13"/>
        <v>Hospital Central de Quelimane</v>
      </c>
      <c r="Q425" t="s">
        <v>202</v>
      </c>
      <c r="R425">
        <v>4</v>
      </c>
    </row>
    <row r="426" spans="1:18" x14ac:dyDescent="0.45">
      <c r="A426" t="s">
        <v>511</v>
      </c>
      <c r="B426" s="3">
        <v>45143</v>
      </c>
      <c r="C426">
        <v>24</v>
      </c>
      <c r="D426" t="s">
        <v>27</v>
      </c>
      <c r="E426">
        <v>67.599999999999994</v>
      </c>
      <c r="F426">
        <v>161.69999999999999</v>
      </c>
      <c r="G426" s="4">
        <f t="shared" si="12"/>
        <v>25.853935209885382</v>
      </c>
      <c r="H426" t="s">
        <v>99</v>
      </c>
      <c r="I426" t="s">
        <v>151</v>
      </c>
      <c r="J426">
        <v>136</v>
      </c>
      <c r="K426">
        <v>90</v>
      </c>
      <c r="L426">
        <v>75</v>
      </c>
      <c r="M426">
        <v>1</v>
      </c>
      <c r="N426" s="5">
        <v>6402.71</v>
      </c>
      <c r="O426" t="s">
        <v>23</v>
      </c>
      <c r="P426" t="str">
        <f t="shared" si="13"/>
        <v>Hospital Central de Maputo</v>
      </c>
      <c r="Q426" t="s">
        <v>37</v>
      </c>
      <c r="R426">
        <v>3</v>
      </c>
    </row>
    <row r="427" spans="1:18" x14ac:dyDescent="0.45">
      <c r="A427" t="s">
        <v>512</v>
      </c>
      <c r="B427" s="3">
        <v>45339</v>
      </c>
      <c r="C427">
        <v>49</v>
      </c>
      <c r="D427" t="s">
        <v>27</v>
      </c>
      <c r="E427">
        <v>73.599999999999994</v>
      </c>
      <c r="F427">
        <v>170.6</v>
      </c>
      <c r="G427" s="4">
        <f t="shared" si="12"/>
        <v>25.288307318903421</v>
      </c>
      <c r="H427" t="s">
        <v>46</v>
      </c>
      <c r="I427" t="s">
        <v>94</v>
      </c>
      <c r="J427">
        <v>99</v>
      </c>
      <c r="K427">
        <v>65</v>
      </c>
      <c r="L427">
        <v>80</v>
      </c>
      <c r="M427">
        <v>1</v>
      </c>
      <c r="N427" s="5">
        <v>5610.06</v>
      </c>
      <c r="O427" t="s">
        <v>52</v>
      </c>
      <c r="P427" t="str">
        <f t="shared" si="13"/>
        <v>Hospital Provincial de Chimoio</v>
      </c>
      <c r="Q427" t="s">
        <v>24</v>
      </c>
      <c r="R427">
        <v>5</v>
      </c>
    </row>
    <row r="428" spans="1:18" x14ac:dyDescent="0.45">
      <c r="A428" t="s">
        <v>513</v>
      </c>
      <c r="B428" s="3">
        <v>45414</v>
      </c>
      <c r="C428">
        <v>62</v>
      </c>
      <c r="D428" t="s">
        <v>27</v>
      </c>
      <c r="E428">
        <v>70.8</v>
      </c>
      <c r="F428">
        <v>171</v>
      </c>
      <c r="G428" s="4">
        <f t="shared" si="12"/>
        <v>24.21257822919873</v>
      </c>
      <c r="H428" t="s">
        <v>55</v>
      </c>
      <c r="I428" t="s">
        <v>56</v>
      </c>
      <c r="J428">
        <v>119</v>
      </c>
      <c r="K428">
        <v>76</v>
      </c>
      <c r="L428">
        <v>86</v>
      </c>
      <c r="M428">
        <v>2</v>
      </c>
      <c r="N428" s="5">
        <v>10474.01</v>
      </c>
      <c r="O428" t="s">
        <v>51</v>
      </c>
      <c r="P428" t="str">
        <f t="shared" si="13"/>
        <v>Hospital Central de Quelimane</v>
      </c>
      <c r="Q428" t="s">
        <v>24</v>
      </c>
      <c r="R428">
        <v>5</v>
      </c>
    </row>
    <row r="429" spans="1:18" x14ac:dyDescent="0.45">
      <c r="A429" t="s">
        <v>514</v>
      </c>
      <c r="B429" s="3">
        <v>45466</v>
      </c>
      <c r="C429">
        <v>32</v>
      </c>
      <c r="D429" t="s">
        <v>20</v>
      </c>
      <c r="E429">
        <v>74.3</v>
      </c>
      <c r="F429">
        <v>177.2</v>
      </c>
      <c r="G429" s="4">
        <f t="shared" si="12"/>
        <v>23.66254095562271</v>
      </c>
      <c r="H429" t="s">
        <v>91</v>
      </c>
      <c r="I429" t="s">
        <v>131</v>
      </c>
      <c r="J429">
        <v>102</v>
      </c>
      <c r="K429">
        <v>79</v>
      </c>
      <c r="L429">
        <v>83</v>
      </c>
      <c r="M429">
        <v>1</v>
      </c>
      <c r="N429" s="5">
        <v>4246.24</v>
      </c>
      <c r="O429" t="s">
        <v>52</v>
      </c>
      <c r="P429" t="str">
        <f t="shared" si="13"/>
        <v>Hospital Provincial de Chimoio</v>
      </c>
      <c r="Q429" t="s">
        <v>37</v>
      </c>
      <c r="R429">
        <v>4</v>
      </c>
    </row>
    <row r="430" spans="1:18" x14ac:dyDescent="0.45">
      <c r="A430" t="s">
        <v>515</v>
      </c>
      <c r="B430" s="3">
        <v>45449</v>
      </c>
      <c r="C430">
        <v>24</v>
      </c>
      <c r="D430" t="s">
        <v>27</v>
      </c>
      <c r="E430">
        <v>50.8</v>
      </c>
      <c r="F430">
        <v>156.80000000000001</v>
      </c>
      <c r="G430" s="4">
        <f t="shared" si="12"/>
        <v>20.661963765097873</v>
      </c>
      <c r="H430" t="s">
        <v>91</v>
      </c>
      <c r="I430" t="s">
        <v>131</v>
      </c>
      <c r="J430">
        <v>109</v>
      </c>
      <c r="K430">
        <v>72</v>
      </c>
      <c r="L430">
        <v>106</v>
      </c>
      <c r="M430">
        <v>1</v>
      </c>
      <c r="N430" s="5">
        <v>3578.24</v>
      </c>
      <c r="O430" t="s">
        <v>31</v>
      </c>
      <c r="P430" t="str">
        <f t="shared" si="13"/>
        <v>Hospital Provincial da Matola</v>
      </c>
      <c r="Q430" t="s">
        <v>24</v>
      </c>
      <c r="R430">
        <v>2</v>
      </c>
    </row>
    <row r="431" spans="1:18" x14ac:dyDescent="0.45">
      <c r="A431" t="s">
        <v>516</v>
      </c>
      <c r="B431" s="3">
        <v>45648</v>
      </c>
      <c r="C431">
        <v>47</v>
      </c>
      <c r="D431" t="s">
        <v>27</v>
      </c>
      <c r="E431">
        <v>50.9</v>
      </c>
      <c r="F431">
        <v>163.5</v>
      </c>
      <c r="G431" s="4">
        <f t="shared" si="12"/>
        <v>19.040671847674624</v>
      </c>
      <c r="H431" t="s">
        <v>91</v>
      </c>
      <c r="I431" t="s">
        <v>131</v>
      </c>
      <c r="J431">
        <v>122</v>
      </c>
      <c r="K431">
        <v>70</v>
      </c>
      <c r="L431">
        <v>119</v>
      </c>
      <c r="M431">
        <v>1</v>
      </c>
      <c r="N431" s="5">
        <v>4724.68</v>
      </c>
      <c r="O431" t="s">
        <v>38</v>
      </c>
      <c r="P431" t="str">
        <f t="shared" si="13"/>
        <v>Hospital Provincial de Xai-Xai</v>
      </c>
      <c r="Q431" t="s">
        <v>24</v>
      </c>
      <c r="R431">
        <v>4</v>
      </c>
    </row>
    <row r="432" spans="1:18" x14ac:dyDescent="0.45">
      <c r="A432" t="s">
        <v>517</v>
      </c>
      <c r="B432" s="3">
        <v>44945</v>
      </c>
      <c r="C432">
        <v>22</v>
      </c>
      <c r="D432" t="s">
        <v>20</v>
      </c>
      <c r="E432">
        <v>76</v>
      </c>
      <c r="F432">
        <v>167.8</v>
      </c>
      <c r="G432" s="4">
        <f t="shared" si="12"/>
        <v>26.99166525789115</v>
      </c>
      <c r="H432" t="s">
        <v>91</v>
      </c>
      <c r="I432" t="s">
        <v>92</v>
      </c>
      <c r="J432">
        <v>100</v>
      </c>
      <c r="K432">
        <v>55</v>
      </c>
      <c r="L432">
        <v>112</v>
      </c>
      <c r="M432">
        <v>2</v>
      </c>
      <c r="N432" s="5">
        <v>8264.25</v>
      </c>
      <c r="O432" t="s">
        <v>30</v>
      </c>
      <c r="P432" t="str">
        <f t="shared" si="13"/>
        <v>Hospital Provincial de Inhambane</v>
      </c>
      <c r="Q432" t="s">
        <v>24</v>
      </c>
      <c r="R432">
        <v>4</v>
      </c>
    </row>
    <row r="433" spans="1:18" x14ac:dyDescent="0.45">
      <c r="A433" t="s">
        <v>518</v>
      </c>
      <c r="B433" s="3">
        <v>45331</v>
      </c>
      <c r="C433">
        <v>33</v>
      </c>
      <c r="D433" t="s">
        <v>27</v>
      </c>
      <c r="E433">
        <v>64.5</v>
      </c>
      <c r="F433">
        <v>167.4</v>
      </c>
      <c r="G433" s="4">
        <f t="shared" si="12"/>
        <v>23.017004748996882</v>
      </c>
      <c r="H433" t="s">
        <v>21</v>
      </c>
      <c r="I433" t="s">
        <v>70</v>
      </c>
      <c r="J433">
        <v>144</v>
      </c>
      <c r="K433">
        <v>90</v>
      </c>
      <c r="L433">
        <v>107</v>
      </c>
      <c r="M433">
        <v>4</v>
      </c>
      <c r="N433" s="5">
        <v>11528.55</v>
      </c>
      <c r="O433" t="s">
        <v>57</v>
      </c>
      <c r="P433" t="str">
        <f t="shared" si="13"/>
        <v>Hospital Provincial de Tete</v>
      </c>
      <c r="Q433" t="s">
        <v>37</v>
      </c>
      <c r="R433">
        <v>3</v>
      </c>
    </row>
    <row r="434" spans="1:18" x14ac:dyDescent="0.45">
      <c r="A434" t="s">
        <v>519</v>
      </c>
      <c r="B434" s="3">
        <v>45235</v>
      </c>
      <c r="C434">
        <v>13</v>
      </c>
      <c r="D434" t="s">
        <v>27</v>
      </c>
      <c r="E434">
        <v>83.3</v>
      </c>
      <c r="F434">
        <v>158.19999999999999</v>
      </c>
      <c r="G434" s="4">
        <f t="shared" si="12"/>
        <v>33.283734043386332</v>
      </c>
      <c r="H434" t="s">
        <v>28</v>
      </c>
      <c r="I434" t="s">
        <v>29</v>
      </c>
      <c r="J434">
        <v>122</v>
      </c>
      <c r="K434">
        <v>75</v>
      </c>
      <c r="L434">
        <v>67</v>
      </c>
      <c r="M434">
        <v>2</v>
      </c>
      <c r="N434" s="5">
        <v>3883.79</v>
      </c>
      <c r="O434" t="s">
        <v>38</v>
      </c>
      <c r="P434" t="str">
        <f t="shared" si="13"/>
        <v>Hospital Provincial de Xai-Xai</v>
      </c>
      <c r="Q434" t="s">
        <v>24</v>
      </c>
      <c r="R434">
        <v>5</v>
      </c>
    </row>
    <row r="435" spans="1:18" x14ac:dyDescent="0.45">
      <c r="A435" t="s">
        <v>520</v>
      </c>
      <c r="B435" s="3">
        <v>45328</v>
      </c>
      <c r="C435">
        <v>64</v>
      </c>
      <c r="D435" t="s">
        <v>20</v>
      </c>
      <c r="E435">
        <v>87.1</v>
      </c>
      <c r="F435">
        <v>173.5</v>
      </c>
      <c r="G435" s="4">
        <f t="shared" si="12"/>
        <v>28.934714182494659</v>
      </c>
      <c r="H435" t="s">
        <v>91</v>
      </c>
      <c r="I435" t="s">
        <v>131</v>
      </c>
      <c r="J435">
        <v>122</v>
      </c>
      <c r="K435">
        <v>74</v>
      </c>
      <c r="L435">
        <v>68</v>
      </c>
      <c r="M435">
        <v>3</v>
      </c>
      <c r="N435" s="5">
        <v>6817.58</v>
      </c>
      <c r="O435" t="s">
        <v>43</v>
      </c>
      <c r="P435" t="str">
        <f t="shared" si="13"/>
        <v>Hospital Central da Beira</v>
      </c>
      <c r="Q435" t="s">
        <v>24</v>
      </c>
      <c r="R435">
        <v>4</v>
      </c>
    </row>
    <row r="436" spans="1:18" x14ac:dyDescent="0.45">
      <c r="A436" t="s">
        <v>521</v>
      </c>
      <c r="B436" s="3">
        <v>45621</v>
      </c>
      <c r="C436">
        <v>1</v>
      </c>
      <c r="D436" t="s">
        <v>27</v>
      </c>
      <c r="E436">
        <v>28.1</v>
      </c>
      <c r="F436">
        <v>86.6</v>
      </c>
      <c r="G436" s="4">
        <f t="shared" si="12"/>
        <v>37.468864840070623</v>
      </c>
      <c r="H436" t="s">
        <v>28</v>
      </c>
      <c r="I436" t="s">
        <v>29</v>
      </c>
      <c r="J436">
        <v>123</v>
      </c>
      <c r="K436">
        <v>81</v>
      </c>
      <c r="L436">
        <v>68</v>
      </c>
      <c r="M436">
        <v>2</v>
      </c>
      <c r="N436" s="5">
        <v>7794.21</v>
      </c>
      <c r="O436" t="s">
        <v>51</v>
      </c>
      <c r="P436" t="str">
        <f t="shared" si="13"/>
        <v>Hospital Central de Quelimane</v>
      </c>
      <c r="Q436" t="s">
        <v>24</v>
      </c>
      <c r="R436">
        <v>3</v>
      </c>
    </row>
    <row r="437" spans="1:18" x14ac:dyDescent="0.45">
      <c r="A437" t="s">
        <v>522</v>
      </c>
      <c r="B437" s="3">
        <v>45123</v>
      </c>
      <c r="C437">
        <v>47</v>
      </c>
      <c r="D437" t="s">
        <v>27</v>
      </c>
      <c r="E437">
        <v>63.2</v>
      </c>
      <c r="F437">
        <v>151</v>
      </c>
      <c r="G437" s="4">
        <f t="shared" si="12"/>
        <v>27.718082540239465</v>
      </c>
      <c r="H437" t="s">
        <v>91</v>
      </c>
      <c r="I437" t="s">
        <v>110</v>
      </c>
      <c r="J437">
        <v>108</v>
      </c>
      <c r="K437">
        <v>55</v>
      </c>
      <c r="L437">
        <v>107</v>
      </c>
      <c r="M437">
        <v>2</v>
      </c>
      <c r="N437" s="5">
        <v>8703.8799999999992</v>
      </c>
      <c r="O437" t="s">
        <v>43</v>
      </c>
      <c r="P437" t="str">
        <f t="shared" si="13"/>
        <v>Hospital Central da Beira</v>
      </c>
      <c r="Q437" t="s">
        <v>24</v>
      </c>
      <c r="R437">
        <v>5</v>
      </c>
    </row>
    <row r="438" spans="1:18" x14ac:dyDescent="0.45">
      <c r="A438" t="s">
        <v>523</v>
      </c>
      <c r="B438" s="3">
        <v>45595</v>
      </c>
      <c r="C438">
        <v>18</v>
      </c>
      <c r="D438" t="s">
        <v>27</v>
      </c>
      <c r="E438">
        <v>57.2</v>
      </c>
      <c r="F438">
        <v>157.69999999999999</v>
      </c>
      <c r="G438" s="4">
        <f t="shared" si="12"/>
        <v>23.000254530788776</v>
      </c>
      <c r="H438" t="s">
        <v>46</v>
      </c>
      <c r="I438" t="s">
        <v>94</v>
      </c>
      <c r="J438">
        <v>107</v>
      </c>
      <c r="K438">
        <v>57</v>
      </c>
      <c r="L438">
        <v>96</v>
      </c>
      <c r="M438">
        <v>3</v>
      </c>
      <c r="N438" s="5">
        <v>5285.79</v>
      </c>
      <c r="O438" t="s">
        <v>36</v>
      </c>
      <c r="P438" t="str">
        <f t="shared" si="13"/>
        <v>Hospital Provincial de Lichinga</v>
      </c>
      <c r="Q438" t="s">
        <v>24</v>
      </c>
      <c r="R438">
        <v>3</v>
      </c>
    </row>
    <row r="439" spans="1:18" x14ac:dyDescent="0.45">
      <c r="A439" t="s">
        <v>524</v>
      </c>
      <c r="B439" s="3">
        <v>44975</v>
      </c>
      <c r="C439">
        <v>46</v>
      </c>
      <c r="D439" t="s">
        <v>20</v>
      </c>
      <c r="E439">
        <v>69.5</v>
      </c>
      <c r="F439">
        <v>159.69999999999999</v>
      </c>
      <c r="G439" s="4">
        <f t="shared" si="12"/>
        <v>27.250531189311207</v>
      </c>
      <c r="H439" t="s">
        <v>91</v>
      </c>
      <c r="I439" t="s">
        <v>116</v>
      </c>
      <c r="J439">
        <v>130</v>
      </c>
      <c r="K439">
        <v>69</v>
      </c>
      <c r="L439">
        <v>96</v>
      </c>
      <c r="M439">
        <v>2</v>
      </c>
      <c r="N439" s="5">
        <v>5614.92</v>
      </c>
      <c r="O439" t="s">
        <v>31</v>
      </c>
      <c r="P439" t="str">
        <f t="shared" si="13"/>
        <v>Hospital Provincial da Matola</v>
      </c>
      <c r="Q439" t="s">
        <v>24</v>
      </c>
      <c r="R439">
        <v>4</v>
      </c>
    </row>
    <row r="440" spans="1:18" x14ac:dyDescent="0.45">
      <c r="A440" t="s">
        <v>525</v>
      </c>
      <c r="B440" s="3">
        <v>45290</v>
      </c>
      <c r="C440">
        <v>39</v>
      </c>
      <c r="D440" t="s">
        <v>20</v>
      </c>
      <c r="E440">
        <v>49.7</v>
      </c>
      <c r="F440">
        <v>177</v>
      </c>
      <c r="G440" s="4">
        <f t="shared" si="12"/>
        <v>15.863896070733187</v>
      </c>
      <c r="H440" t="s">
        <v>46</v>
      </c>
      <c r="I440" t="s">
        <v>108</v>
      </c>
      <c r="J440">
        <v>127</v>
      </c>
      <c r="K440">
        <v>72</v>
      </c>
      <c r="L440">
        <v>94</v>
      </c>
      <c r="M440">
        <v>11</v>
      </c>
      <c r="N440" s="5">
        <v>33698.57</v>
      </c>
      <c r="O440" t="s">
        <v>51</v>
      </c>
      <c r="P440" t="str">
        <f t="shared" si="13"/>
        <v>Hospital Central de Quelimane</v>
      </c>
      <c r="Q440" t="s">
        <v>76</v>
      </c>
      <c r="R440">
        <v>5</v>
      </c>
    </row>
    <row r="441" spans="1:18" x14ac:dyDescent="0.45">
      <c r="A441" t="s">
        <v>526</v>
      </c>
      <c r="B441" s="3">
        <v>45551</v>
      </c>
      <c r="C441">
        <v>28</v>
      </c>
      <c r="D441" t="s">
        <v>27</v>
      </c>
      <c r="E441">
        <v>63.7</v>
      </c>
      <c r="F441">
        <v>157.6</v>
      </c>
      <c r="G441" s="4">
        <f t="shared" si="12"/>
        <v>25.646435105259098</v>
      </c>
      <c r="H441" t="s">
        <v>99</v>
      </c>
      <c r="I441" t="s">
        <v>105</v>
      </c>
      <c r="J441">
        <v>117</v>
      </c>
      <c r="K441">
        <v>75</v>
      </c>
      <c r="L441">
        <v>70</v>
      </c>
      <c r="M441">
        <v>4</v>
      </c>
      <c r="N441" s="5">
        <v>12755.09</v>
      </c>
      <c r="O441" t="s">
        <v>63</v>
      </c>
      <c r="P441" t="str">
        <f t="shared" si="13"/>
        <v>Hospital Central de Nampula</v>
      </c>
      <c r="Q441" t="s">
        <v>24</v>
      </c>
      <c r="R441">
        <v>4</v>
      </c>
    </row>
    <row r="442" spans="1:18" x14ac:dyDescent="0.45">
      <c r="A442" t="s">
        <v>527</v>
      </c>
      <c r="B442" s="3">
        <v>45068</v>
      </c>
      <c r="C442">
        <v>36</v>
      </c>
      <c r="D442" t="s">
        <v>27</v>
      </c>
      <c r="E442">
        <v>60.1</v>
      </c>
      <c r="F442">
        <v>178.1</v>
      </c>
      <c r="G442" s="4">
        <f t="shared" si="12"/>
        <v>18.947269528219298</v>
      </c>
      <c r="H442" t="s">
        <v>99</v>
      </c>
      <c r="I442" t="s">
        <v>100</v>
      </c>
      <c r="J442">
        <v>137</v>
      </c>
      <c r="K442">
        <v>85</v>
      </c>
      <c r="L442">
        <v>75</v>
      </c>
      <c r="M442">
        <v>1</v>
      </c>
      <c r="N442" s="5">
        <v>4328.96</v>
      </c>
      <c r="O442" t="s">
        <v>43</v>
      </c>
      <c r="P442" t="str">
        <f t="shared" si="13"/>
        <v>Hospital Central da Beira</v>
      </c>
      <c r="Q442" t="s">
        <v>24</v>
      </c>
      <c r="R442">
        <v>3</v>
      </c>
    </row>
    <row r="443" spans="1:18" x14ac:dyDescent="0.45">
      <c r="A443" t="s">
        <v>528</v>
      </c>
      <c r="B443" s="3">
        <v>45469</v>
      </c>
      <c r="C443">
        <v>40</v>
      </c>
      <c r="D443" t="s">
        <v>27</v>
      </c>
      <c r="E443">
        <v>52.3</v>
      </c>
      <c r="F443">
        <v>166</v>
      </c>
      <c r="G443" s="4">
        <f t="shared" si="12"/>
        <v>18.97953258818406</v>
      </c>
      <c r="H443" t="s">
        <v>46</v>
      </c>
      <c r="I443" t="s">
        <v>94</v>
      </c>
      <c r="J443">
        <v>104</v>
      </c>
      <c r="K443">
        <v>68</v>
      </c>
      <c r="L443">
        <v>109</v>
      </c>
      <c r="M443">
        <v>1</v>
      </c>
      <c r="N443" s="5">
        <v>2019.77</v>
      </c>
      <c r="O443" t="s">
        <v>23</v>
      </c>
      <c r="P443" t="str">
        <f t="shared" si="13"/>
        <v>Hospital Central de Maputo</v>
      </c>
      <c r="Q443" t="s">
        <v>37</v>
      </c>
      <c r="R443">
        <v>5</v>
      </c>
    </row>
    <row r="444" spans="1:18" x14ac:dyDescent="0.45">
      <c r="A444" t="s">
        <v>529</v>
      </c>
      <c r="B444" s="3">
        <v>45013</v>
      </c>
      <c r="C444">
        <v>18</v>
      </c>
      <c r="D444" t="s">
        <v>27</v>
      </c>
      <c r="E444">
        <v>68.8</v>
      </c>
      <c r="F444">
        <v>154.80000000000001</v>
      </c>
      <c r="G444" s="4">
        <f t="shared" si="12"/>
        <v>28.710881424059714</v>
      </c>
      <c r="H444" t="s">
        <v>91</v>
      </c>
      <c r="I444" t="s">
        <v>110</v>
      </c>
      <c r="J444">
        <v>133</v>
      </c>
      <c r="K444">
        <v>85</v>
      </c>
      <c r="L444">
        <v>101</v>
      </c>
      <c r="M444">
        <v>15</v>
      </c>
      <c r="N444" s="5">
        <v>50388.74</v>
      </c>
      <c r="O444" t="s">
        <v>63</v>
      </c>
      <c r="P444" t="str">
        <f t="shared" si="13"/>
        <v>Hospital Central de Nampula</v>
      </c>
      <c r="Q444" t="s">
        <v>76</v>
      </c>
      <c r="R444">
        <v>4</v>
      </c>
    </row>
    <row r="445" spans="1:18" x14ac:dyDescent="0.45">
      <c r="A445" t="s">
        <v>530</v>
      </c>
      <c r="B445" s="3">
        <v>45624</v>
      </c>
      <c r="C445">
        <v>56</v>
      </c>
      <c r="D445" t="s">
        <v>27</v>
      </c>
      <c r="E445">
        <v>63.2</v>
      </c>
      <c r="F445">
        <v>164</v>
      </c>
      <c r="G445" s="4">
        <f t="shared" si="12"/>
        <v>23.497917906008333</v>
      </c>
      <c r="H445" t="s">
        <v>46</v>
      </c>
      <c r="I445" t="s">
        <v>108</v>
      </c>
      <c r="J445">
        <v>119</v>
      </c>
      <c r="K445">
        <v>81</v>
      </c>
      <c r="L445">
        <v>116</v>
      </c>
      <c r="M445">
        <v>2</v>
      </c>
      <c r="N445" s="5">
        <v>5031.33</v>
      </c>
      <c r="O445" t="s">
        <v>63</v>
      </c>
      <c r="P445" t="str">
        <f t="shared" si="13"/>
        <v>Hospital Central de Nampula</v>
      </c>
      <c r="Q445" t="s">
        <v>24</v>
      </c>
      <c r="R445">
        <v>4</v>
      </c>
    </row>
    <row r="446" spans="1:18" x14ac:dyDescent="0.45">
      <c r="A446" t="s">
        <v>531</v>
      </c>
      <c r="B446" s="3">
        <v>45591</v>
      </c>
      <c r="C446">
        <v>25</v>
      </c>
      <c r="D446" t="s">
        <v>27</v>
      </c>
      <c r="E446">
        <v>71.5</v>
      </c>
      <c r="F446">
        <v>172.6</v>
      </c>
      <c r="G446" s="4">
        <f t="shared" si="12"/>
        <v>24.000730427823928</v>
      </c>
      <c r="H446" t="s">
        <v>46</v>
      </c>
      <c r="I446" t="s">
        <v>108</v>
      </c>
      <c r="J446">
        <v>95</v>
      </c>
      <c r="K446">
        <v>64</v>
      </c>
      <c r="L446">
        <v>104</v>
      </c>
      <c r="M446">
        <v>3</v>
      </c>
      <c r="N446" s="5">
        <v>6360.95</v>
      </c>
      <c r="O446" t="s">
        <v>30</v>
      </c>
      <c r="P446" t="str">
        <f t="shared" si="13"/>
        <v>Hospital Provincial de Inhambane</v>
      </c>
      <c r="Q446" t="s">
        <v>24</v>
      </c>
      <c r="R446">
        <v>4</v>
      </c>
    </row>
    <row r="447" spans="1:18" x14ac:dyDescent="0.45">
      <c r="A447" t="s">
        <v>532</v>
      </c>
      <c r="B447" s="3">
        <v>44950</v>
      </c>
      <c r="C447">
        <v>20</v>
      </c>
      <c r="D447" t="s">
        <v>27</v>
      </c>
      <c r="E447">
        <v>84.7</v>
      </c>
      <c r="F447">
        <v>163.80000000000001</v>
      </c>
      <c r="G447" s="4">
        <f t="shared" si="12"/>
        <v>31.568621312211054</v>
      </c>
      <c r="H447" t="s">
        <v>99</v>
      </c>
      <c r="I447" t="s">
        <v>151</v>
      </c>
      <c r="J447">
        <v>102</v>
      </c>
      <c r="K447">
        <v>55</v>
      </c>
      <c r="L447">
        <v>92</v>
      </c>
      <c r="M447">
        <v>1</v>
      </c>
      <c r="N447" s="5">
        <v>4040.94</v>
      </c>
      <c r="O447" t="s">
        <v>23</v>
      </c>
      <c r="P447" t="str">
        <f t="shared" si="13"/>
        <v>Hospital Central de Maputo</v>
      </c>
      <c r="Q447" t="s">
        <v>24</v>
      </c>
      <c r="R447">
        <v>3</v>
      </c>
    </row>
    <row r="448" spans="1:18" x14ac:dyDescent="0.45">
      <c r="A448" t="s">
        <v>533</v>
      </c>
      <c r="B448" s="3">
        <v>45232</v>
      </c>
      <c r="C448">
        <v>41</v>
      </c>
      <c r="D448" t="s">
        <v>20</v>
      </c>
      <c r="E448">
        <v>30.1</v>
      </c>
      <c r="F448">
        <v>172.2</v>
      </c>
      <c r="G448" s="4">
        <f t="shared" si="12"/>
        <v>10.15079837209522</v>
      </c>
      <c r="H448" t="s">
        <v>41</v>
      </c>
      <c r="I448" t="s">
        <v>113</v>
      </c>
      <c r="J448">
        <v>118</v>
      </c>
      <c r="K448">
        <v>68</v>
      </c>
      <c r="L448">
        <v>74</v>
      </c>
      <c r="M448">
        <v>3</v>
      </c>
      <c r="N448" s="5">
        <v>6599.39</v>
      </c>
      <c r="O448" t="s">
        <v>63</v>
      </c>
      <c r="P448" t="str">
        <f t="shared" si="13"/>
        <v>Hospital Central de Nampula</v>
      </c>
      <c r="Q448" t="s">
        <v>24</v>
      </c>
      <c r="R448">
        <v>4</v>
      </c>
    </row>
    <row r="449" spans="1:18" x14ac:dyDescent="0.45">
      <c r="A449" t="s">
        <v>534</v>
      </c>
      <c r="B449" s="3">
        <v>45313</v>
      </c>
      <c r="C449">
        <v>22</v>
      </c>
      <c r="D449" t="s">
        <v>20</v>
      </c>
      <c r="E449">
        <v>53.8</v>
      </c>
      <c r="F449">
        <v>166.8</v>
      </c>
      <c r="G449" s="4">
        <f t="shared" si="12"/>
        <v>19.337048346933958</v>
      </c>
      <c r="H449" t="s">
        <v>21</v>
      </c>
      <c r="I449" t="s">
        <v>70</v>
      </c>
      <c r="J449">
        <v>124</v>
      </c>
      <c r="K449">
        <v>82</v>
      </c>
      <c r="L449">
        <v>101</v>
      </c>
      <c r="M449">
        <v>1</v>
      </c>
      <c r="N449" s="5">
        <v>5019.96</v>
      </c>
      <c r="O449" t="s">
        <v>43</v>
      </c>
      <c r="P449" t="str">
        <f t="shared" si="13"/>
        <v>Hospital Central da Beira</v>
      </c>
      <c r="Q449" t="s">
        <v>24</v>
      </c>
      <c r="R449">
        <v>4</v>
      </c>
    </row>
    <row r="450" spans="1:18" x14ac:dyDescent="0.45">
      <c r="A450" t="s">
        <v>535</v>
      </c>
      <c r="B450" s="3">
        <v>45529</v>
      </c>
      <c r="C450">
        <v>24</v>
      </c>
      <c r="D450" t="s">
        <v>27</v>
      </c>
      <c r="E450">
        <v>33.5</v>
      </c>
      <c r="F450">
        <v>143.19999999999999</v>
      </c>
      <c r="G450" s="4">
        <f t="shared" ref="G450:G513" si="14">E450/((F450/100)^2)</f>
        <v>16.336490746231391</v>
      </c>
      <c r="H450" t="s">
        <v>99</v>
      </c>
      <c r="I450" t="s">
        <v>100</v>
      </c>
      <c r="J450">
        <v>98</v>
      </c>
      <c r="K450">
        <v>55</v>
      </c>
      <c r="L450">
        <v>86</v>
      </c>
      <c r="M450">
        <v>1</v>
      </c>
      <c r="N450" s="5">
        <v>4166.08</v>
      </c>
      <c r="O450" t="s">
        <v>43</v>
      </c>
      <c r="P450" t="str">
        <f t="shared" ref="P450:P513" si="15">INDEX($U$2:$U$12,MATCH(O450,$T$2:$T$12,0))</f>
        <v>Hospital Central da Beira</v>
      </c>
      <c r="Q450" t="s">
        <v>76</v>
      </c>
      <c r="R450">
        <v>4</v>
      </c>
    </row>
    <row r="451" spans="1:18" x14ac:dyDescent="0.45">
      <c r="A451" t="s">
        <v>536</v>
      </c>
      <c r="B451" s="3">
        <v>45468</v>
      </c>
      <c r="C451">
        <v>20</v>
      </c>
      <c r="D451" t="s">
        <v>20</v>
      </c>
      <c r="E451">
        <v>67.3</v>
      </c>
      <c r="F451">
        <v>148.30000000000001</v>
      </c>
      <c r="G451" s="4">
        <f t="shared" si="14"/>
        <v>30.600798712674862</v>
      </c>
      <c r="H451" t="s">
        <v>46</v>
      </c>
      <c r="I451" t="s">
        <v>66</v>
      </c>
      <c r="J451">
        <v>118</v>
      </c>
      <c r="K451">
        <v>71</v>
      </c>
      <c r="L451">
        <v>111</v>
      </c>
      <c r="M451">
        <v>2</v>
      </c>
      <c r="N451" s="5">
        <v>4728.46</v>
      </c>
      <c r="O451" t="s">
        <v>23</v>
      </c>
      <c r="P451" t="str">
        <f t="shared" si="15"/>
        <v>Hospital Central de Maputo</v>
      </c>
      <c r="Q451" t="s">
        <v>24</v>
      </c>
      <c r="R451">
        <v>4</v>
      </c>
    </row>
    <row r="452" spans="1:18" x14ac:dyDescent="0.45">
      <c r="A452" t="s">
        <v>537</v>
      </c>
      <c r="B452" s="3">
        <v>45310</v>
      </c>
      <c r="C452">
        <v>31</v>
      </c>
      <c r="D452" t="s">
        <v>27</v>
      </c>
      <c r="E452">
        <v>57.6</v>
      </c>
      <c r="F452">
        <v>164.3</v>
      </c>
      <c r="G452" s="4">
        <f t="shared" si="14"/>
        <v>21.337687802214454</v>
      </c>
      <c r="H452" t="s">
        <v>91</v>
      </c>
      <c r="I452" t="s">
        <v>92</v>
      </c>
      <c r="J452">
        <v>109</v>
      </c>
      <c r="K452">
        <v>66</v>
      </c>
      <c r="L452">
        <v>118</v>
      </c>
      <c r="M452">
        <v>1</v>
      </c>
      <c r="N452" s="5">
        <v>4899.25</v>
      </c>
      <c r="O452" t="s">
        <v>23</v>
      </c>
      <c r="P452" t="str">
        <f t="shared" si="15"/>
        <v>Hospital Central de Maputo</v>
      </c>
      <c r="Q452" t="s">
        <v>24</v>
      </c>
      <c r="R452">
        <v>5</v>
      </c>
    </row>
    <row r="453" spans="1:18" x14ac:dyDescent="0.45">
      <c r="A453" t="s">
        <v>538</v>
      </c>
      <c r="B453" s="3">
        <v>45354</v>
      </c>
      <c r="C453">
        <v>18</v>
      </c>
      <c r="D453" t="s">
        <v>27</v>
      </c>
      <c r="E453">
        <v>51.7</v>
      </c>
      <c r="F453">
        <v>175.7</v>
      </c>
      <c r="G453" s="4">
        <f t="shared" si="14"/>
        <v>16.747385610011378</v>
      </c>
      <c r="H453" t="s">
        <v>55</v>
      </c>
      <c r="I453" t="s">
        <v>56</v>
      </c>
      <c r="J453">
        <v>88</v>
      </c>
      <c r="K453">
        <v>56</v>
      </c>
      <c r="L453">
        <v>65</v>
      </c>
      <c r="M453">
        <v>2</v>
      </c>
      <c r="N453" s="5">
        <v>7415.09</v>
      </c>
      <c r="O453" t="s">
        <v>43</v>
      </c>
      <c r="P453" t="str">
        <f t="shared" si="15"/>
        <v>Hospital Central da Beira</v>
      </c>
      <c r="Q453" t="s">
        <v>37</v>
      </c>
      <c r="R453">
        <v>4</v>
      </c>
    </row>
    <row r="454" spans="1:18" x14ac:dyDescent="0.45">
      <c r="A454" t="s">
        <v>539</v>
      </c>
      <c r="B454" s="3">
        <v>45566</v>
      </c>
      <c r="C454">
        <v>20</v>
      </c>
      <c r="D454" t="s">
        <v>27</v>
      </c>
      <c r="E454">
        <v>67.099999999999994</v>
      </c>
      <c r="F454">
        <v>161.5</v>
      </c>
      <c r="G454" s="4">
        <f t="shared" si="14"/>
        <v>25.726308121423571</v>
      </c>
      <c r="H454" t="s">
        <v>91</v>
      </c>
      <c r="I454" t="s">
        <v>131</v>
      </c>
      <c r="J454">
        <v>101</v>
      </c>
      <c r="K454">
        <v>56</v>
      </c>
      <c r="L454">
        <v>86</v>
      </c>
      <c r="M454">
        <v>1</v>
      </c>
      <c r="N454" s="5">
        <v>3510.39</v>
      </c>
      <c r="O454" t="s">
        <v>63</v>
      </c>
      <c r="P454" t="str">
        <f t="shared" si="15"/>
        <v>Hospital Central de Nampula</v>
      </c>
      <c r="Q454" t="s">
        <v>24</v>
      </c>
      <c r="R454">
        <v>4</v>
      </c>
    </row>
    <row r="455" spans="1:18" x14ac:dyDescent="0.45">
      <c r="A455" t="s">
        <v>540</v>
      </c>
      <c r="B455" s="3">
        <v>45586</v>
      </c>
      <c r="C455">
        <v>17</v>
      </c>
      <c r="D455" t="s">
        <v>20</v>
      </c>
      <c r="E455">
        <v>78.099999999999994</v>
      </c>
      <c r="F455">
        <v>166.8</v>
      </c>
      <c r="G455" s="4">
        <f t="shared" si="14"/>
        <v>28.071068325195949</v>
      </c>
      <c r="H455" t="s">
        <v>28</v>
      </c>
      <c r="I455" t="s">
        <v>29</v>
      </c>
      <c r="J455">
        <v>102</v>
      </c>
      <c r="K455">
        <v>63</v>
      </c>
      <c r="L455">
        <v>66</v>
      </c>
      <c r="M455">
        <v>1</v>
      </c>
      <c r="N455" s="5">
        <v>4662.75</v>
      </c>
      <c r="O455" t="s">
        <v>36</v>
      </c>
      <c r="P455" t="str">
        <f t="shared" si="15"/>
        <v>Hospital Provincial de Lichinga</v>
      </c>
      <c r="Q455" t="s">
        <v>24</v>
      </c>
      <c r="R455">
        <v>3</v>
      </c>
    </row>
    <row r="456" spans="1:18" x14ac:dyDescent="0.45">
      <c r="A456" t="s">
        <v>541</v>
      </c>
      <c r="B456" s="3">
        <v>45649</v>
      </c>
      <c r="C456">
        <v>23</v>
      </c>
      <c r="D456" t="s">
        <v>27</v>
      </c>
      <c r="E456">
        <v>36.1</v>
      </c>
      <c r="F456">
        <v>161.30000000000001</v>
      </c>
      <c r="G456" s="4">
        <f t="shared" si="14"/>
        <v>13.875174929057879</v>
      </c>
      <c r="H456" t="s">
        <v>21</v>
      </c>
      <c r="I456" t="s">
        <v>22</v>
      </c>
      <c r="J456">
        <v>135</v>
      </c>
      <c r="K456">
        <v>81</v>
      </c>
      <c r="L456">
        <v>97</v>
      </c>
      <c r="M456">
        <v>1</v>
      </c>
      <c r="N456" s="5">
        <v>3898.41</v>
      </c>
      <c r="O456" t="s">
        <v>23</v>
      </c>
      <c r="P456" t="str">
        <f t="shared" si="15"/>
        <v>Hospital Central de Maputo</v>
      </c>
      <c r="Q456" t="s">
        <v>76</v>
      </c>
      <c r="R456">
        <v>4</v>
      </c>
    </row>
    <row r="457" spans="1:18" x14ac:dyDescent="0.45">
      <c r="A457" t="s">
        <v>542</v>
      </c>
      <c r="B457" s="3">
        <v>45219</v>
      </c>
      <c r="C457">
        <v>2</v>
      </c>
      <c r="D457" t="s">
        <v>20</v>
      </c>
      <c r="E457">
        <v>33.6</v>
      </c>
      <c r="F457">
        <v>96.4</v>
      </c>
      <c r="G457" s="4">
        <f t="shared" si="14"/>
        <v>36.156402265801205</v>
      </c>
      <c r="H457" t="s">
        <v>28</v>
      </c>
      <c r="I457" t="s">
        <v>75</v>
      </c>
      <c r="J457">
        <v>108</v>
      </c>
      <c r="K457">
        <v>74</v>
      </c>
      <c r="L457">
        <v>84</v>
      </c>
      <c r="M457">
        <v>1</v>
      </c>
      <c r="N457" s="5">
        <v>3388.99</v>
      </c>
      <c r="O457" t="s">
        <v>43</v>
      </c>
      <c r="P457" t="str">
        <f t="shared" si="15"/>
        <v>Hospital Central da Beira</v>
      </c>
      <c r="Q457" t="s">
        <v>24</v>
      </c>
      <c r="R457">
        <v>4</v>
      </c>
    </row>
    <row r="458" spans="1:18" x14ac:dyDescent="0.45">
      <c r="A458" t="s">
        <v>543</v>
      </c>
      <c r="B458" s="3">
        <v>45050</v>
      </c>
      <c r="C458">
        <v>7</v>
      </c>
      <c r="D458" t="s">
        <v>20</v>
      </c>
      <c r="E458">
        <v>12.2</v>
      </c>
      <c r="F458">
        <v>110</v>
      </c>
      <c r="G458" s="4">
        <f t="shared" si="14"/>
        <v>10.082644628099171</v>
      </c>
      <c r="H458" t="s">
        <v>28</v>
      </c>
      <c r="I458" t="s">
        <v>73</v>
      </c>
      <c r="J458">
        <v>102</v>
      </c>
      <c r="K458">
        <v>67</v>
      </c>
      <c r="L458">
        <v>82</v>
      </c>
      <c r="M458">
        <v>1</v>
      </c>
      <c r="N458" s="5">
        <v>2975.1</v>
      </c>
      <c r="O458" t="s">
        <v>23</v>
      </c>
      <c r="P458" t="str">
        <f t="shared" si="15"/>
        <v>Hospital Central de Maputo</v>
      </c>
      <c r="Q458" t="s">
        <v>24</v>
      </c>
      <c r="R458">
        <v>5</v>
      </c>
    </row>
    <row r="459" spans="1:18" x14ac:dyDescent="0.45">
      <c r="A459" t="s">
        <v>544</v>
      </c>
      <c r="B459" s="3">
        <v>44946</v>
      </c>
      <c r="C459">
        <v>31</v>
      </c>
      <c r="D459" t="s">
        <v>27</v>
      </c>
      <c r="E459">
        <v>59.9</v>
      </c>
      <c r="F459">
        <v>160.9</v>
      </c>
      <c r="G459" s="4">
        <f t="shared" si="14"/>
        <v>23.137409560346729</v>
      </c>
      <c r="H459" t="s">
        <v>55</v>
      </c>
      <c r="I459" t="s">
        <v>197</v>
      </c>
      <c r="J459">
        <v>123</v>
      </c>
      <c r="K459">
        <v>83</v>
      </c>
      <c r="L459">
        <v>101</v>
      </c>
      <c r="M459">
        <v>1</v>
      </c>
      <c r="N459" s="5">
        <v>6383.44</v>
      </c>
      <c r="O459" t="s">
        <v>36</v>
      </c>
      <c r="P459" t="str">
        <f t="shared" si="15"/>
        <v>Hospital Provincial de Lichinga</v>
      </c>
      <c r="Q459" t="s">
        <v>37</v>
      </c>
      <c r="R459">
        <v>4</v>
      </c>
    </row>
    <row r="460" spans="1:18" x14ac:dyDescent="0.45">
      <c r="A460" t="s">
        <v>545</v>
      </c>
      <c r="B460" s="3">
        <v>45360</v>
      </c>
      <c r="C460">
        <v>54</v>
      </c>
      <c r="D460" t="s">
        <v>27</v>
      </c>
      <c r="E460">
        <v>59.8</v>
      </c>
      <c r="F460">
        <v>141.80000000000001</v>
      </c>
      <c r="G460" s="4">
        <f t="shared" si="14"/>
        <v>29.740531271323153</v>
      </c>
      <c r="H460" t="s">
        <v>21</v>
      </c>
      <c r="I460" t="s">
        <v>123</v>
      </c>
      <c r="J460">
        <v>115</v>
      </c>
      <c r="K460">
        <v>83</v>
      </c>
      <c r="L460">
        <v>106</v>
      </c>
      <c r="M460">
        <v>1</v>
      </c>
      <c r="N460" s="5">
        <v>4185.04</v>
      </c>
      <c r="O460" t="s">
        <v>36</v>
      </c>
      <c r="P460" t="str">
        <f t="shared" si="15"/>
        <v>Hospital Provincial de Lichinga</v>
      </c>
      <c r="Q460" t="s">
        <v>37</v>
      </c>
      <c r="R460">
        <v>3</v>
      </c>
    </row>
    <row r="461" spans="1:18" x14ac:dyDescent="0.45">
      <c r="A461" t="s">
        <v>546</v>
      </c>
      <c r="B461" s="3">
        <v>45449</v>
      </c>
      <c r="C461">
        <v>36</v>
      </c>
      <c r="D461" t="s">
        <v>27</v>
      </c>
      <c r="E461">
        <v>79.7</v>
      </c>
      <c r="F461">
        <v>151.4</v>
      </c>
      <c r="G461" s="4">
        <f t="shared" si="14"/>
        <v>34.77015054559034</v>
      </c>
      <c r="H461" t="s">
        <v>21</v>
      </c>
      <c r="I461" t="s">
        <v>123</v>
      </c>
      <c r="J461">
        <v>124</v>
      </c>
      <c r="K461">
        <v>81</v>
      </c>
      <c r="L461">
        <v>65</v>
      </c>
      <c r="M461">
        <v>26</v>
      </c>
      <c r="N461" s="5">
        <v>77174.740000000005</v>
      </c>
      <c r="O461" t="s">
        <v>52</v>
      </c>
      <c r="P461" t="str">
        <f t="shared" si="15"/>
        <v>Hospital Provincial de Chimoio</v>
      </c>
      <c r="Q461" t="s">
        <v>37</v>
      </c>
      <c r="R461">
        <v>5</v>
      </c>
    </row>
    <row r="462" spans="1:18" x14ac:dyDescent="0.45">
      <c r="A462" t="s">
        <v>547</v>
      </c>
      <c r="B462" s="3">
        <v>45277</v>
      </c>
      <c r="C462">
        <v>34</v>
      </c>
      <c r="D462" t="s">
        <v>27</v>
      </c>
      <c r="E462">
        <v>56.7</v>
      </c>
      <c r="F462">
        <v>156.1</v>
      </c>
      <c r="G462" s="4">
        <f t="shared" si="14"/>
        <v>23.268974987288246</v>
      </c>
      <c r="H462" t="s">
        <v>34</v>
      </c>
      <c r="I462" t="s">
        <v>126</v>
      </c>
      <c r="J462">
        <v>124</v>
      </c>
      <c r="K462">
        <v>76</v>
      </c>
      <c r="L462">
        <v>87</v>
      </c>
      <c r="M462">
        <v>4</v>
      </c>
      <c r="N462" s="5">
        <v>10153.629999999999</v>
      </c>
      <c r="O462" t="s">
        <v>43</v>
      </c>
      <c r="P462" t="str">
        <f t="shared" si="15"/>
        <v>Hospital Central da Beira</v>
      </c>
      <c r="Q462" t="s">
        <v>37</v>
      </c>
      <c r="R462">
        <v>4</v>
      </c>
    </row>
    <row r="463" spans="1:18" x14ac:dyDescent="0.45">
      <c r="A463" t="s">
        <v>548</v>
      </c>
      <c r="B463" s="3">
        <v>45350</v>
      </c>
      <c r="C463">
        <v>18</v>
      </c>
      <c r="D463" t="s">
        <v>27</v>
      </c>
      <c r="E463">
        <v>39.4</v>
      </c>
      <c r="F463">
        <v>159.19999999999999</v>
      </c>
      <c r="G463" s="4">
        <f t="shared" si="14"/>
        <v>15.545693290573473</v>
      </c>
      <c r="H463" t="s">
        <v>46</v>
      </c>
      <c r="I463" t="s">
        <v>47</v>
      </c>
      <c r="J463">
        <v>101</v>
      </c>
      <c r="K463">
        <v>65</v>
      </c>
      <c r="L463">
        <v>69</v>
      </c>
      <c r="M463">
        <v>1</v>
      </c>
      <c r="N463" s="5">
        <v>4902.46</v>
      </c>
      <c r="O463" t="s">
        <v>57</v>
      </c>
      <c r="P463" t="str">
        <f t="shared" si="15"/>
        <v>Hospital Provincial de Tete</v>
      </c>
      <c r="Q463" t="s">
        <v>24</v>
      </c>
      <c r="R463">
        <v>5</v>
      </c>
    </row>
    <row r="464" spans="1:18" x14ac:dyDescent="0.45">
      <c r="A464" t="s">
        <v>549</v>
      </c>
      <c r="B464" s="3">
        <v>45640</v>
      </c>
      <c r="C464">
        <v>30</v>
      </c>
      <c r="D464" t="s">
        <v>20</v>
      </c>
      <c r="E464">
        <v>64.400000000000006</v>
      </c>
      <c r="F464">
        <v>167.3</v>
      </c>
      <c r="G464" s="4">
        <f t="shared" si="14"/>
        <v>23.008800866331374</v>
      </c>
      <c r="H464" t="s">
        <v>21</v>
      </c>
      <c r="I464" t="s">
        <v>22</v>
      </c>
      <c r="J464">
        <v>139</v>
      </c>
      <c r="K464">
        <v>83</v>
      </c>
      <c r="L464">
        <v>128</v>
      </c>
      <c r="M464">
        <v>1</v>
      </c>
      <c r="N464" s="5">
        <v>3608.6</v>
      </c>
      <c r="O464" t="s">
        <v>38</v>
      </c>
      <c r="P464" t="str">
        <f t="shared" si="15"/>
        <v>Hospital Provincial de Xai-Xai</v>
      </c>
      <c r="Q464" t="s">
        <v>24</v>
      </c>
      <c r="R464">
        <v>3</v>
      </c>
    </row>
    <row r="465" spans="1:18" x14ac:dyDescent="0.45">
      <c r="A465" t="s">
        <v>550</v>
      </c>
      <c r="B465" s="3">
        <v>45432</v>
      </c>
      <c r="C465">
        <v>18</v>
      </c>
      <c r="D465" t="s">
        <v>27</v>
      </c>
      <c r="E465">
        <v>98.5</v>
      </c>
      <c r="F465">
        <v>163.6</v>
      </c>
      <c r="G465" s="4">
        <f t="shared" si="14"/>
        <v>36.801848386846089</v>
      </c>
      <c r="H465" t="s">
        <v>21</v>
      </c>
      <c r="I465" t="s">
        <v>70</v>
      </c>
      <c r="J465">
        <v>108</v>
      </c>
      <c r="K465">
        <v>65</v>
      </c>
      <c r="L465">
        <v>91</v>
      </c>
      <c r="M465">
        <v>1</v>
      </c>
      <c r="N465" s="5">
        <v>3179.23</v>
      </c>
      <c r="O465" t="s">
        <v>31</v>
      </c>
      <c r="P465" t="str">
        <f t="shared" si="15"/>
        <v>Hospital Provincial da Matola</v>
      </c>
      <c r="Q465" t="s">
        <v>24</v>
      </c>
      <c r="R465">
        <v>4</v>
      </c>
    </row>
    <row r="466" spans="1:18" x14ac:dyDescent="0.45">
      <c r="A466" t="s">
        <v>551</v>
      </c>
      <c r="B466" s="3">
        <v>45544</v>
      </c>
      <c r="C466">
        <v>42</v>
      </c>
      <c r="D466" t="s">
        <v>20</v>
      </c>
      <c r="E466">
        <v>85.6</v>
      </c>
      <c r="F466">
        <v>165.4</v>
      </c>
      <c r="G466" s="4">
        <f t="shared" si="14"/>
        <v>31.28979762519208</v>
      </c>
      <c r="H466" t="s">
        <v>21</v>
      </c>
      <c r="I466" t="s">
        <v>123</v>
      </c>
      <c r="J466">
        <v>107</v>
      </c>
      <c r="K466">
        <v>73</v>
      </c>
      <c r="L466">
        <v>70</v>
      </c>
      <c r="M466">
        <v>1</v>
      </c>
      <c r="N466" s="5">
        <v>3521.3</v>
      </c>
      <c r="O466" t="s">
        <v>36</v>
      </c>
      <c r="P466" t="str">
        <f t="shared" si="15"/>
        <v>Hospital Provincial de Lichinga</v>
      </c>
      <c r="Q466" t="s">
        <v>24</v>
      </c>
      <c r="R466">
        <v>4</v>
      </c>
    </row>
    <row r="467" spans="1:18" x14ac:dyDescent="0.45">
      <c r="A467" t="s">
        <v>552</v>
      </c>
      <c r="B467" s="3">
        <v>45624</v>
      </c>
      <c r="C467">
        <v>18</v>
      </c>
      <c r="D467" t="s">
        <v>27</v>
      </c>
      <c r="E467">
        <v>70.400000000000006</v>
      </c>
      <c r="F467">
        <v>169</v>
      </c>
      <c r="G467" s="4">
        <f t="shared" si="14"/>
        <v>24.648996883862615</v>
      </c>
      <c r="H467" t="s">
        <v>21</v>
      </c>
      <c r="I467" t="s">
        <v>22</v>
      </c>
      <c r="J467">
        <v>123</v>
      </c>
      <c r="K467">
        <v>79</v>
      </c>
      <c r="L467">
        <v>72</v>
      </c>
      <c r="M467">
        <v>1</v>
      </c>
      <c r="N467" s="5">
        <v>4228.3599999999997</v>
      </c>
      <c r="O467" t="s">
        <v>52</v>
      </c>
      <c r="P467" t="str">
        <f t="shared" si="15"/>
        <v>Hospital Provincial de Chimoio</v>
      </c>
      <c r="Q467" t="s">
        <v>24</v>
      </c>
      <c r="R467">
        <v>5</v>
      </c>
    </row>
    <row r="468" spans="1:18" x14ac:dyDescent="0.45">
      <c r="A468" t="s">
        <v>553</v>
      </c>
      <c r="B468" s="3">
        <v>44975</v>
      </c>
      <c r="C468">
        <v>23</v>
      </c>
      <c r="D468" t="s">
        <v>27</v>
      </c>
      <c r="E468">
        <v>65.7</v>
      </c>
      <c r="F468">
        <v>161.4</v>
      </c>
      <c r="G468" s="4">
        <f t="shared" si="14"/>
        <v>25.220768093309932</v>
      </c>
      <c r="H468" t="s">
        <v>34</v>
      </c>
      <c r="I468" t="s">
        <v>35</v>
      </c>
      <c r="J468">
        <v>113</v>
      </c>
      <c r="K468">
        <v>68</v>
      </c>
      <c r="L468">
        <v>86</v>
      </c>
      <c r="M468">
        <v>5</v>
      </c>
      <c r="N468" s="5">
        <v>17661.939999999999</v>
      </c>
      <c r="O468" t="s">
        <v>23</v>
      </c>
      <c r="P468" t="str">
        <f t="shared" si="15"/>
        <v>Hospital Central de Maputo</v>
      </c>
      <c r="Q468" t="s">
        <v>24</v>
      </c>
      <c r="R468">
        <v>3</v>
      </c>
    </row>
    <row r="469" spans="1:18" x14ac:dyDescent="0.45">
      <c r="A469" t="s">
        <v>554</v>
      </c>
      <c r="B469" s="3">
        <v>45245</v>
      </c>
      <c r="C469">
        <v>53</v>
      </c>
      <c r="D469" t="s">
        <v>20</v>
      </c>
      <c r="E469">
        <v>49.9</v>
      </c>
      <c r="F469">
        <v>168.9</v>
      </c>
      <c r="G469" s="4">
        <f t="shared" si="14"/>
        <v>17.492071604618886</v>
      </c>
      <c r="H469" t="s">
        <v>46</v>
      </c>
      <c r="I469" t="s">
        <v>47</v>
      </c>
      <c r="J469">
        <v>111</v>
      </c>
      <c r="K469">
        <v>66</v>
      </c>
      <c r="L469">
        <v>103</v>
      </c>
      <c r="M469">
        <v>1</v>
      </c>
      <c r="N469" s="5">
        <v>3104.71</v>
      </c>
      <c r="O469" t="s">
        <v>23</v>
      </c>
      <c r="P469" t="str">
        <f t="shared" si="15"/>
        <v>Hospital Central de Maputo</v>
      </c>
      <c r="Q469" t="s">
        <v>24</v>
      </c>
      <c r="R469">
        <v>5</v>
      </c>
    </row>
    <row r="470" spans="1:18" x14ac:dyDescent="0.45">
      <c r="A470" t="s">
        <v>555</v>
      </c>
      <c r="B470" s="3">
        <v>45001</v>
      </c>
      <c r="C470">
        <v>22</v>
      </c>
      <c r="D470" t="s">
        <v>27</v>
      </c>
      <c r="E470">
        <v>90.4</v>
      </c>
      <c r="F470">
        <v>154.6</v>
      </c>
      <c r="G470" s="4">
        <f t="shared" si="14"/>
        <v>37.822432049323133</v>
      </c>
      <c r="H470" t="s">
        <v>46</v>
      </c>
      <c r="I470" t="s">
        <v>47</v>
      </c>
      <c r="J470">
        <v>104</v>
      </c>
      <c r="K470">
        <v>55</v>
      </c>
      <c r="L470">
        <v>114</v>
      </c>
      <c r="M470">
        <v>4</v>
      </c>
      <c r="N470" s="5">
        <v>11592.55</v>
      </c>
      <c r="O470" t="s">
        <v>63</v>
      </c>
      <c r="P470" t="str">
        <f t="shared" si="15"/>
        <v>Hospital Central de Nampula</v>
      </c>
      <c r="Q470" t="s">
        <v>24</v>
      </c>
      <c r="R470">
        <v>4</v>
      </c>
    </row>
    <row r="471" spans="1:18" x14ac:dyDescent="0.45">
      <c r="A471" t="s">
        <v>556</v>
      </c>
      <c r="B471" s="3">
        <v>45369</v>
      </c>
      <c r="C471">
        <v>43</v>
      </c>
      <c r="D471" t="s">
        <v>20</v>
      </c>
      <c r="E471">
        <v>50.4</v>
      </c>
      <c r="F471">
        <v>164</v>
      </c>
      <c r="G471" s="4">
        <f t="shared" si="14"/>
        <v>18.738845925044618</v>
      </c>
      <c r="H471" t="s">
        <v>21</v>
      </c>
      <c r="I471" t="s">
        <v>89</v>
      </c>
      <c r="J471">
        <v>151</v>
      </c>
      <c r="K471">
        <v>83</v>
      </c>
      <c r="L471">
        <v>109</v>
      </c>
      <c r="M471">
        <v>6</v>
      </c>
      <c r="N471" s="5">
        <v>16016.89</v>
      </c>
      <c r="O471" t="s">
        <v>43</v>
      </c>
      <c r="P471" t="str">
        <f t="shared" si="15"/>
        <v>Hospital Central da Beira</v>
      </c>
      <c r="Q471" t="s">
        <v>24</v>
      </c>
      <c r="R471">
        <v>4</v>
      </c>
    </row>
    <row r="472" spans="1:18" x14ac:dyDescent="0.45">
      <c r="A472" t="s">
        <v>557</v>
      </c>
      <c r="B472" s="3">
        <v>45030</v>
      </c>
      <c r="C472">
        <v>36</v>
      </c>
      <c r="D472" t="s">
        <v>27</v>
      </c>
      <c r="E472">
        <v>59.1</v>
      </c>
      <c r="F472">
        <v>161.19999999999999</v>
      </c>
      <c r="G472" s="4">
        <f t="shared" si="14"/>
        <v>22.743505593901819</v>
      </c>
      <c r="H472" t="s">
        <v>46</v>
      </c>
      <c r="I472" t="s">
        <v>108</v>
      </c>
      <c r="J472">
        <v>111</v>
      </c>
      <c r="K472">
        <v>78</v>
      </c>
      <c r="L472">
        <v>91</v>
      </c>
      <c r="M472">
        <v>3</v>
      </c>
      <c r="N472" s="5">
        <v>11904.93</v>
      </c>
      <c r="O472" t="s">
        <v>23</v>
      </c>
      <c r="P472" t="str">
        <f t="shared" si="15"/>
        <v>Hospital Central de Maputo</v>
      </c>
      <c r="Q472" t="s">
        <v>24</v>
      </c>
      <c r="R472">
        <v>4</v>
      </c>
    </row>
    <row r="473" spans="1:18" x14ac:dyDescent="0.45">
      <c r="A473" t="s">
        <v>558</v>
      </c>
      <c r="B473" s="3">
        <v>45419</v>
      </c>
      <c r="C473">
        <v>4</v>
      </c>
      <c r="D473" t="s">
        <v>27</v>
      </c>
      <c r="E473">
        <v>27.2</v>
      </c>
      <c r="F473">
        <v>124.3</v>
      </c>
      <c r="G473" s="4">
        <f t="shared" si="14"/>
        <v>17.60461965931178</v>
      </c>
      <c r="H473" t="s">
        <v>28</v>
      </c>
      <c r="I473" t="s">
        <v>29</v>
      </c>
      <c r="J473">
        <v>85</v>
      </c>
      <c r="K473">
        <v>58</v>
      </c>
      <c r="L473">
        <v>86</v>
      </c>
      <c r="M473">
        <v>8</v>
      </c>
      <c r="N473" s="5">
        <v>22526.09</v>
      </c>
      <c r="O473" t="s">
        <v>38</v>
      </c>
      <c r="P473" t="str">
        <f t="shared" si="15"/>
        <v>Hospital Provincial de Xai-Xai</v>
      </c>
      <c r="Q473" t="s">
        <v>24</v>
      </c>
      <c r="R473">
        <v>4</v>
      </c>
    </row>
    <row r="474" spans="1:18" x14ac:dyDescent="0.45">
      <c r="A474" t="s">
        <v>559</v>
      </c>
      <c r="B474" s="3">
        <v>44935</v>
      </c>
      <c r="C474">
        <v>23</v>
      </c>
      <c r="D474" t="s">
        <v>20</v>
      </c>
      <c r="E474">
        <v>67.7</v>
      </c>
      <c r="F474">
        <v>157.80000000000001</v>
      </c>
      <c r="G474" s="4">
        <f t="shared" si="14"/>
        <v>27.187837840008608</v>
      </c>
      <c r="H474" t="s">
        <v>21</v>
      </c>
      <c r="I474" t="s">
        <v>22</v>
      </c>
      <c r="J474">
        <v>142</v>
      </c>
      <c r="K474">
        <v>100</v>
      </c>
      <c r="L474">
        <v>91</v>
      </c>
      <c r="M474">
        <v>4</v>
      </c>
      <c r="N474" s="5">
        <v>13635.95</v>
      </c>
      <c r="O474" t="s">
        <v>57</v>
      </c>
      <c r="P474" t="str">
        <f t="shared" si="15"/>
        <v>Hospital Provincial de Tete</v>
      </c>
      <c r="Q474" t="s">
        <v>24</v>
      </c>
      <c r="R474">
        <v>4</v>
      </c>
    </row>
    <row r="475" spans="1:18" x14ac:dyDescent="0.45">
      <c r="A475" t="s">
        <v>560</v>
      </c>
      <c r="B475" s="3">
        <v>45270</v>
      </c>
      <c r="C475">
        <v>22</v>
      </c>
      <c r="D475" t="s">
        <v>27</v>
      </c>
      <c r="E475">
        <v>79</v>
      </c>
      <c r="F475">
        <v>177.5</v>
      </c>
      <c r="G475" s="4">
        <f t="shared" si="14"/>
        <v>25.074390001983733</v>
      </c>
      <c r="H475" t="s">
        <v>91</v>
      </c>
      <c r="I475" t="s">
        <v>110</v>
      </c>
      <c r="J475">
        <v>120</v>
      </c>
      <c r="K475">
        <v>70</v>
      </c>
      <c r="L475">
        <v>110</v>
      </c>
      <c r="M475">
        <v>4</v>
      </c>
      <c r="N475" s="5">
        <v>9152.8700000000008</v>
      </c>
      <c r="O475" t="s">
        <v>43</v>
      </c>
      <c r="P475" t="str">
        <f t="shared" si="15"/>
        <v>Hospital Central da Beira</v>
      </c>
      <c r="Q475" t="s">
        <v>24</v>
      </c>
      <c r="R475">
        <v>5</v>
      </c>
    </row>
    <row r="476" spans="1:18" x14ac:dyDescent="0.45">
      <c r="A476" t="s">
        <v>561</v>
      </c>
      <c r="B476" s="3">
        <v>45311</v>
      </c>
      <c r="C476">
        <v>26</v>
      </c>
      <c r="D476" t="s">
        <v>20</v>
      </c>
      <c r="E476">
        <v>67.599999999999994</v>
      </c>
      <c r="F476">
        <v>160.69999999999999</v>
      </c>
      <c r="G476" s="4">
        <f t="shared" si="14"/>
        <v>26.176702811943233</v>
      </c>
      <c r="H476" t="s">
        <v>91</v>
      </c>
      <c r="I476" t="s">
        <v>92</v>
      </c>
      <c r="J476">
        <v>116</v>
      </c>
      <c r="K476">
        <v>72</v>
      </c>
      <c r="L476">
        <v>85</v>
      </c>
      <c r="M476">
        <v>3</v>
      </c>
      <c r="N476" s="5">
        <v>8718.2800000000007</v>
      </c>
      <c r="O476" t="s">
        <v>23</v>
      </c>
      <c r="P476" t="str">
        <f t="shared" si="15"/>
        <v>Hospital Central de Maputo</v>
      </c>
      <c r="Q476" t="s">
        <v>24</v>
      </c>
      <c r="R476">
        <v>3</v>
      </c>
    </row>
    <row r="477" spans="1:18" x14ac:dyDescent="0.45">
      <c r="A477" t="s">
        <v>562</v>
      </c>
      <c r="B477" s="3">
        <v>45195</v>
      </c>
      <c r="C477">
        <v>48</v>
      </c>
      <c r="D477" t="s">
        <v>20</v>
      </c>
      <c r="E477">
        <v>66.3</v>
      </c>
      <c r="F477">
        <v>163.80000000000001</v>
      </c>
      <c r="G477" s="4">
        <f t="shared" si="14"/>
        <v>24.71073899645328</v>
      </c>
      <c r="H477" t="s">
        <v>91</v>
      </c>
      <c r="I477" t="s">
        <v>110</v>
      </c>
      <c r="J477">
        <v>133</v>
      </c>
      <c r="K477">
        <v>71</v>
      </c>
      <c r="L477">
        <v>117</v>
      </c>
      <c r="M477">
        <v>1</v>
      </c>
      <c r="N477" s="5">
        <v>3655.06</v>
      </c>
      <c r="O477" t="s">
        <v>67</v>
      </c>
      <c r="P477" t="str">
        <f t="shared" si="15"/>
        <v>Hospital Provincial de Pemba</v>
      </c>
      <c r="Q477" t="s">
        <v>24</v>
      </c>
      <c r="R477">
        <v>3</v>
      </c>
    </row>
    <row r="478" spans="1:18" x14ac:dyDescent="0.45">
      <c r="A478" t="s">
        <v>563</v>
      </c>
      <c r="B478" s="3">
        <v>45308</v>
      </c>
      <c r="C478">
        <v>41</v>
      </c>
      <c r="D478" t="s">
        <v>20</v>
      </c>
      <c r="E478">
        <v>60.9</v>
      </c>
      <c r="F478">
        <v>165.4</v>
      </c>
      <c r="G478" s="4">
        <f t="shared" si="14"/>
        <v>22.261082656240628</v>
      </c>
      <c r="H478" t="s">
        <v>34</v>
      </c>
      <c r="I478" t="s">
        <v>35</v>
      </c>
      <c r="J478">
        <v>133</v>
      </c>
      <c r="K478">
        <v>93</v>
      </c>
      <c r="L478">
        <v>93</v>
      </c>
      <c r="M478">
        <v>1</v>
      </c>
      <c r="N478" s="5">
        <v>4219.3900000000003</v>
      </c>
      <c r="O478" t="s">
        <v>36</v>
      </c>
      <c r="P478" t="str">
        <f t="shared" si="15"/>
        <v>Hospital Provincial de Lichinga</v>
      </c>
      <c r="Q478" t="s">
        <v>24</v>
      </c>
      <c r="R478">
        <v>2</v>
      </c>
    </row>
    <row r="479" spans="1:18" x14ac:dyDescent="0.45">
      <c r="A479" t="s">
        <v>564</v>
      </c>
      <c r="B479" s="3">
        <v>45557</v>
      </c>
      <c r="C479">
        <v>21</v>
      </c>
      <c r="D479" t="s">
        <v>27</v>
      </c>
      <c r="E479">
        <v>53.6</v>
      </c>
      <c r="F479">
        <v>165</v>
      </c>
      <c r="G479" s="4">
        <f t="shared" si="14"/>
        <v>19.687786960514234</v>
      </c>
      <c r="H479" t="s">
        <v>99</v>
      </c>
      <c r="I479" t="s">
        <v>151</v>
      </c>
      <c r="J479">
        <v>128</v>
      </c>
      <c r="K479">
        <v>82</v>
      </c>
      <c r="L479">
        <v>112</v>
      </c>
      <c r="M479">
        <v>13</v>
      </c>
      <c r="N479" s="5">
        <v>39435.08</v>
      </c>
      <c r="O479" t="s">
        <v>23</v>
      </c>
      <c r="P479" t="str">
        <f t="shared" si="15"/>
        <v>Hospital Central de Maputo</v>
      </c>
      <c r="Q479" t="s">
        <v>24</v>
      </c>
      <c r="R479">
        <v>4</v>
      </c>
    </row>
    <row r="480" spans="1:18" x14ac:dyDescent="0.45">
      <c r="A480" t="s">
        <v>565</v>
      </c>
      <c r="B480" s="3">
        <v>44993</v>
      </c>
      <c r="C480">
        <v>18</v>
      </c>
      <c r="D480" t="s">
        <v>20</v>
      </c>
      <c r="E480">
        <v>64.099999999999994</v>
      </c>
      <c r="F480">
        <v>152.9</v>
      </c>
      <c r="G480" s="4">
        <f t="shared" si="14"/>
        <v>27.418460023585855</v>
      </c>
      <c r="H480" t="s">
        <v>41</v>
      </c>
      <c r="I480" t="s">
        <v>42</v>
      </c>
      <c r="J480">
        <v>102</v>
      </c>
      <c r="K480">
        <v>68</v>
      </c>
      <c r="L480">
        <v>78</v>
      </c>
      <c r="M480">
        <v>2</v>
      </c>
      <c r="N480" s="5">
        <v>4877.28</v>
      </c>
      <c r="O480" t="s">
        <v>67</v>
      </c>
      <c r="P480" t="str">
        <f t="shared" si="15"/>
        <v>Hospital Provincial de Pemba</v>
      </c>
      <c r="Q480" t="s">
        <v>24</v>
      </c>
      <c r="R480">
        <v>2</v>
      </c>
    </row>
    <row r="481" spans="1:18" x14ac:dyDescent="0.45">
      <c r="A481" t="s">
        <v>566</v>
      </c>
      <c r="B481" s="3">
        <v>45151</v>
      </c>
      <c r="C481">
        <v>18</v>
      </c>
      <c r="D481" t="s">
        <v>20</v>
      </c>
      <c r="E481">
        <v>70.2</v>
      </c>
      <c r="F481">
        <v>156.9</v>
      </c>
      <c r="G481" s="4">
        <f t="shared" si="14"/>
        <v>28.51617195982876</v>
      </c>
      <c r="H481" t="s">
        <v>41</v>
      </c>
      <c r="I481" t="s">
        <v>113</v>
      </c>
      <c r="J481">
        <v>144</v>
      </c>
      <c r="K481">
        <v>84</v>
      </c>
      <c r="L481">
        <v>103</v>
      </c>
      <c r="M481">
        <v>3</v>
      </c>
      <c r="N481" s="5">
        <v>4487.37</v>
      </c>
      <c r="O481" t="s">
        <v>43</v>
      </c>
      <c r="P481" t="str">
        <f t="shared" si="15"/>
        <v>Hospital Central da Beira</v>
      </c>
      <c r="Q481" t="s">
        <v>24</v>
      </c>
      <c r="R481">
        <v>4</v>
      </c>
    </row>
    <row r="482" spans="1:18" x14ac:dyDescent="0.45">
      <c r="A482" t="s">
        <v>567</v>
      </c>
      <c r="B482" s="3">
        <v>45403</v>
      </c>
      <c r="C482">
        <v>31</v>
      </c>
      <c r="D482" t="s">
        <v>27</v>
      </c>
      <c r="E482">
        <v>68.7</v>
      </c>
      <c r="F482">
        <v>155.1</v>
      </c>
      <c r="G482" s="4">
        <f t="shared" si="14"/>
        <v>28.558351946145685</v>
      </c>
      <c r="H482" t="s">
        <v>41</v>
      </c>
      <c r="I482" t="s">
        <v>161</v>
      </c>
      <c r="J482">
        <v>102</v>
      </c>
      <c r="K482">
        <v>63</v>
      </c>
      <c r="L482">
        <v>108</v>
      </c>
      <c r="M482">
        <v>1</v>
      </c>
      <c r="N482" s="5">
        <v>4469.12</v>
      </c>
      <c r="O482" t="s">
        <v>38</v>
      </c>
      <c r="P482" t="str">
        <f t="shared" si="15"/>
        <v>Hospital Provincial de Xai-Xai</v>
      </c>
      <c r="Q482" t="s">
        <v>24</v>
      </c>
      <c r="R482">
        <v>4</v>
      </c>
    </row>
    <row r="483" spans="1:18" x14ac:dyDescent="0.45">
      <c r="A483" t="s">
        <v>568</v>
      </c>
      <c r="B483" s="3">
        <v>45007</v>
      </c>
      <c r="C483">
        <v>40</v>
      </c>
      <c r="D483" t="s">
        <v>27</v>
      </c>
      <c r="E483">
        <v>71.7</v>
      </c>
      <c r="F483">
        <v>169.3</v>
      </c>
      <c r="G483" s="4">
        <f t="shared" si="14"/>
        <v>25.015272574015725</v>
      </c>
      <c r="H483" t="s">
        <v>34</v>
      </c>
      <c r="I483" t="s">
        <v>128</v>
      </c>
      <c r="J483">
        <v>105</v>
      </c>
      <c r="K483">
        <v>63</v>
      </c>
      <c r="L483">
        <v>83</v>
      </c>
      <c r="M483">
        <v>5</v>
      </c>
      <c r="N483" s="5">
        <v>16558.439999999999</v>
      </c>
      <c r="O483" t="s">
        <v>31</v>
      </c>
      <c r="P483" t="str">
        <f t="shared" si="15"/>
        <v>Hospital Provincial da Matola</v>
      </c>
      <c r="Q483" t="s">
        <v>24</v>
      </c>
      <c r="R483">
        <v>3</v>
      </c>
    </row>
    <row r="484" spans="1:18" x14ac:dyDescent="0.45">
      <c r="A484" t="s">
        <v>569</v>
      </c>
      <c r="B484" s="3">
        <v>45483</v>
      </c>
      <c r="C484">
        <v>26</v>
      </c>
      <c r="D484" t="s">
        <v>27</v>
      </c>
      <c r="E484">
        <v>74.900000000000006</v>
      </c>
      <c r="F484">
        <v>161.30000000000001</v>
      </c>
      <c r="G484" s="4">
        <f t="shared" si="14"/>
        <v>28.788105323723965</v>
      </c>
      <c r="H484" t="s">
        <v>21</v>
      </c>
      <c r="I484" t="s">
        <v>123</v>
      </c>
      <c r="J484">
        <v>139</v>
      </c>
      <c r="K484">
        <v>85</v>
      </c>
      <c r="L484">
        <v>101</v>
      </c>
      <c r="M484">
        <v>1</v>
      </c>
      <c r="N484" s="5">
        <v>6071.16</v>
      </c>
      <c r="O484" t="s">
        <v>67</v>
      </c>
      <c r="P484" t="str">
        <f t="shared" si="15"/>
        <v>Hospital Provincial de Pemba</v>
      </c>
      <c r="Q484" t="s">
        <v>37</v>
      </c>
      <c r="R484">
        <v>3</v>
      </c>
    </row>
    <row r="485" spans="1:18" x14ac:dyDescent="0.45">
      <c r="A485" t="s">
        <v>570</v>
      </c>
      <c r="B485" s="3">
        <v>45141</v>
      </c>
      <c r="C485">
        <v>17</v>
      </c>
      <c r="D485" t="s">
        <v>27</v>
      </c>
      <c r="E485">
        <v>61.7</v>
      </c>
      <c r="F485">
        <v>149.4</v>
      </c>
      <c r="G485" s="4">
        <f t="shared" si="14"/>
        <v>27.642923322025275</v>
      </c>
      <c r="H485" t="s">
        <v>28</v>
      </c>
      <c r="I485" t="s">
        <v>73</v>
      </c>
      <c r="J485">
        <v>93</v>
      </c>
      <c r="K485">
        <v>59</v>
      </c>
      <c r="L485">
        <v>72</v>
      </c>
      <c r="M485">
        <v>1</v>
      </c>
      <c r="N485" s="5">
        <v>5434.92</v>
      </c>
      <c r="O485" t="s">
        <v>31</v>
      </c>
      <c r="P485" t="str">
        <f t="shared" si="15"/>
        <v>Hospital Provincial da Matola</v>
      </c>
      <c r="Q485" t="s">
        <v>24</v>
      </c>
      <c r="R485">
        <v>4</v>
      </c>
    </row>
    <row r="486" spans="1:18" x14ac:dyDescent="0.45">
      <c r="A486" t="s">
        <v>571</v>
      </c>
      <c r="B486" s="3">
        <v>45310</v>
      </c>
      <c r="C486">
        <v>66</v>
      </c>
      <c r="D486" t="s">
        <v>20</v>
      </c>
      <c r="E486">
        <v>46.4</v>
      </c>
      <c r="F486">
        <v>178.6</v>
      </c>
      <c r="G486" s="4">
        <f t="shared" si="14"/>
        <v>14.546384784481514</v>
      </c>
      <c r="H486" t="s">
        <v>55</v>
      </c>
      <c r="I486" t="s">
        <v>80</v>
      </c>
      <c r="J486">
        <v>126</v>
      </c>
      <c r="K486">
        <v>75</v>
      </c>
      <c r="L486">
        <v>102</v>
      </c>
      <c r="M486">
        <v>2</v>
      </c>
      <c r="N486" s="5">
        <v>9726.89</v>
      </c>
      <c r="O486" t="s">
        <v>51</v>
      </c>
      <c r="P486" t="str">
        <f t="shared" si="15"/>
        <v>Hospital Central de Quelimane</v>
      </c>
      <c r="Q486" t="s">
        <v>24</v>
      </c>
      <c r="R486">
        <v>4</v>
      </c>
    </row>
    <row r="487" spans="1:18" x14ac:dyDescent="0.45">
      <c r="A487" t="s">
        <v>572</v>
      </c>
      <c r="B487" s="3">
        <v>45508</v>
      </c>
      <c r="C487">
        <v>61</v>
      </c>
      <c r="D487" t="s">
        <v>20</v>
      </c>
      <c r="E487">
        <v>44.4</v>
      </c>
      <c r="F487">
        <v>181.3</v>
      </c>
      <c r="G487" s="4">
        <f t="shared" si="14"/>
        <v>13.507885228001843</v>
      </c>
      <c r="H487" t="s">
        <v>34</v>
      </c>
      <c r="I487" t="s">
        <v>126</v>
      </c>
      <c r="J487">
        <v>115</v>
      </c>
      <c r="K487">
        <v>78</v>
      </c>
      <c r="L487">
        <v>79</v>
      </c>
      <c r="M487">
        <v>1</v>
      </c>
      <c r="N487" s="5">
        <v>5317.98</v>
      </c>
      <c r="O487" t="s">
        <v>23</v>
      </c>
      <c r="P487" t="str">
        <f t="shared" si="15"/>
        <v>Hospital Central de Maputo</v>
      </c>
      <c r="Q487" t="s">
        <v>24</v>
      </c>
      <c r="R487">
        <v>4</v>
      </c>
    </row>
    <row r="488" spans="1:18" x14ac:dyDescent="0.45">
      <c r="A488" t="s">
        <v>573</v>
      </c>
      <c r="B488" s="3">
        <v>45263</v>
      </c>
      <c r="C488">
        <v>34</v>
      </c>
      <c r="D488" t="s">
        <v>27</v>
      </c>
      <c r="E488">
        <v>82</v>
      </c>
      <c r="F488">
        <v>168.2</v>
      </c>
      <c r="G488" s="4">
        <f t="shared" si="14"/>
        <v>28.984236816767314</v>
      </c>
      <c r="H488" t="s">
        <v>46</v>
      </c>
      <c r="I488" t="s">
        <v>94</v>
      </c>
      <c r="J488">
        <v>117</v>
      </c>
      <c r="K488">
        <v>68</v>
      </c>
      <c r="L488">
        <v>90</v>
      </c>
      <c r="M488">
        <v>1</v>
      </c>
      <c r="N488" s="5">
        <v>4594.72</v>
      </c>
      <c r="O488" t="s">
        <v>31</v>
      </c>
      <c r="P488" t="str">
        <f t="shared" si="15"/>
        <v>Hospital Provincial da Matola</v>
      </c>
      <c r="Q488" t="s">
        <v>24</v>
      </c>
      <c r="R488">
        <v>2</v>
      </c>
    </row>
    <row r="489" spans="1:18" x14ac:dyDescent="0.45">
      <c r="A489" t="s">
        <v>574</v>
      </c>
      <c r="B489" s="3">
        <v>44985</v>
      </c>
      <c r="C489">
        <v>53</v>
      </c>
      <c r="D489" t="s">
        <v>27</v>
      </c>
      <c r="E489">
        <v>35.9</v>
      </c>
      <c r="F489">
        <v>178.7</v>
      </c>
      <c r="G489" s="4">
        <f t="shared" si="14"/>
        <v>11.242045626421501</v>
      </c>
      <c r="H489" t="s">
        <v>41</v>
      </c>
      <c r="I489" t="s">
        <v>161</v>
      </c>
      <c r="J489">
        <v>144</v>
      </c>
      <c r="K489">
        <v>93</v>
      </c>
      <c r="L489">
        <v>104</v>
      </c>
      <c r="M489">
        <v>5</v>
      </c>
      <c r="N489" s="5">
        <v>12374.54</v>
      </c>
      <c r="O489" t="s">
        <v>31</v>
      </c>
      <c r="P489" t="str">
        <f t="shared" si="15"/>
        <v>Hospital Provincial da Matola</v>
      </c>
      <c r="Q489" t="s">
        <v>37</v>
      </c>
      <c r="R489">
        <v>4</v>
      </c>
    </row>
    <row r="490" spans="1:18" x14ac:dyDescent="0.45">
      <c r="A490" t="s">
        <v>575</v>
      </c>
      <c r="B490" s="3">
        <v>45653</v>
      </c>
      <c r="C490">
        <v>9</v>
      </c>
      <c r="D490" t="s">
        <v>27</v>
      </c>
      <c r="E490">
        <v>23.8</v>
      </c>
      <c r="F490">
        <v>68.5</v>
      </c>
      <c r="G490" s="4">
        <f t="shared" si="14"/>
        <v>50.721935105759492</v>
      </c>
      <c r="H490" t="s">
        <v>28</v>
      </c>
      <c r="I490" t="s">
        <v>75</v>
      </c>
      <c r="J490">
        <v>103</v>
      </c>
      <c r="K490">
        <v>64</v>
      </c>
      <c r="L490">
        <v>90</v>
      </c>
      <c r="M490">
        <v>2</v>
      </c>
      <c r="N490" s="5">
        <v>7744.96</v>
      </c>
      <c r="O490" t="s">
        <v>67</v>
      </c>
      <c r="P490" t="str">
        <f t="shared" si="15"/>
        <v>Hospital Provincial de Pemba</v>
      </c>
      <c r="Q490" t="s">
        <v>37</v>
      </c>
      <c r="R490">
        <v>4</v>
      </c>
    </row>
    <row r="491" spans="1:18" x14ac:dyDescent="0.45">
      <c r="A491" t="s">
        <v>576</v>
      </c>
      <c r="B491" s="3">
        <v>45516</v>
      </c>
      <c r="C491">
        <v>42</v>
      </c>
      <c r="D491" t="s">
        <v>20</v>
      </c>
      <c r="E491">
        <v>42.6</v>
      </c>
      <c r="F491">
        <v>150.80000000000001</v>
      </c>
      <c r="G491" s="4">
        <f t="shared" si="14"/>
        <v>18.732982009301409</v>
      </c>
      <c r="H491" t="s">
        <v>46</v>
      </c>
      <c r="I491" t="s">
        <v>108</v>
      </c>
      <c r="J491">
        <v>103</v>
      </c>
      <c r="K491">
        <v>73</v>
      </c>
      <c r="L491">
        <v>94</v>
      </c>
      <c r="M491">
        <v>6</v>
      </c>
      <c r="N491" s="5">
        <v>19014.509999999998</v>
      </c>
      <c r="O491" t="s">
        <v>31</v>
      </c>
      <c r="P491" t="str">
        <f t="shared" si="15"/>
        <v>Hospital Provincial da Matola</v>
      </c>
      <c r="Q491" t="s">
        <v>24</v>
      </c>
      <c r="R491">
        <v>4</v>
      </c>
    </row>
    <row r="492" spans="1:18" x14ac:dyDescent="0.45">
      <c r="A492" t="s">
        <v>577</v>
      </c>
      <c r="B492" s="3">
        <v>45320</v>
      </c>
      <c r="C492">
        <v>21</v>
      </c>
      <c r="D492" t="s">
        <v>20</v>
      </c>
      <c r="E492">
        <v>82</v>
      </c>
      <c r="F492">
        <v>146</v>
      </c>
      <c r="G492" s="4">
        <f t="shared" si="14"/>
        <v>38.468755864139617</v>
      </c>
      <c r="H492" t="s">
        <v>46</v>
      </c>
      <c r="I492" t="s">
        <v>47</v>
      </c>
      <c r="J492">
        <v>109</v>
      </c>
      <c r="K492">
        <v>79</v>
      </c>
      <c r="L492">
        <v>84</v>
      </c>
      <c r="M492">
        <v>1</v>
      </c>
      <c r="N492" s="5">
        <v>5771.42</v>
      </c>
      <c r="O492" t="s">
        <v>51</v>
      </c>
      <c r="P492" t="str">
        <f t="shared" si="15"/>
        <v>Hospital Central de Quelimane</v>
      </c>
      <c r="Q492" t="s">
        <v>24</v>
      </c>
      <c r="R492">
        <v>4</v>
      </c>
    </row>
    <row r="493" spans="1:18" x14ac:dyDescent="0.45">
      <c r="A493" t="s">
        <v>578</v>
      </c>
      <c r="B493" s="3">
        <v>45493</v>
      </c>
      <c r="C493">
        <v>61</v>
      </c>
      <c r="D493" t="s">
        <v>20</v>
      </c>
      <c r="E493">
        <v>49.8</v>
      </c>
      <c r="F493">
        <v>163.4</v>
      </c>
      <c r="G493" s="4">
        <f t="shared" si="14"/>
        <v>18.651992766921996</v>
      </c>
      <c r="H493" t="s">
        <v>34</v>
      </c>
      <c r="I493" t="s">
        <v>128</v>
      </c>
      <c r="J493">
        <v>126</v>
      </c>
      <c r="K493">
        <v>72</v>
      </c>
      <c r="L493">
        <v>98</v>
      </c>
      <c r="M493">
        <v>1</v>
      </c>
      <c r="N493" s="5">
        <v>3541.94</v>
      </c>
      <c r="O493" t="s">
        <v>51</v>
      </c>
      <c r="P493" t="str">
        <f t="shared" si="15"/>
        <v>Hospital Central de Quelimane</v>
      </c>
      <c r="Q493" t="s">
        <v>24</v>
      </c>
      <c r="R493">
        <v>4</v>
      </c>
    </row>
    <row r="494" spans="1:18" x14ac:dyDescent="0.45">
      <c r="A494" t="s">
        <v>579</v>
      </c>
      <c r="B494" s="3">
        <v>45335</v>
      </c>
      <c r="C494">
        <v>47</v>
      </c>
      <c r="D494" t="s">
        <v>20</v>
      </c>
      <c r="E494">
        <v>82.9</v>
      </c>
      <c r="F494">
        <v>162.9</v>
      </c>
      <c r="G494" s="4">
        <f t="shared" si="14"/>
        <v>31.240096154679556</v>
      </c>
      <c r="H494" t="s">
        <v>91</v>
      </c>
      <c r="I494" t="s">
        <v>92</v>
      </c>
      <c r="J494">
        <v>130</v>
      </c>
      <c r="K494">
        <v>87</v>
      </c>
      <c r="L494">
        <v>71</v>
      </c>
      <c r="M494">
        <v>1</v>
      </c>
      <c r="N494" s="5">
        <v>5223.25</v>
      </c>
      <c r="O494" t="s">
        <v>43</v>
      </c>
      <c r="P494" t="str">
        <f t="shared" si="15"/>
        <v>Hospital Central da Beira</v>
      </c>
      <c r="Q494" t="s">
        <v>24</v>
      </c>
      <c r="R494">
        <v>3</v>
      </c>
    </row>
    <row r="495" spans="1:18" x14ac:dyDescent="0.45">
      <c r="A495" t="s">
        <v>580</v>
      </c>
      <c r="B495" s="3">
        <v>45092</v>
      </c>
      <c r="C495">
        <v>28</v>
      </c>
      <c r="D495" t="s">
        <v>27</v>
      </c>
      <c r="E495">
        <v>69.5</v>
      </c>
      <c r="F495">
        <v>165</v>
      </c>
      <c r="G495" s="4">
        <f t="shared" si="14"/>
        <v>25.528007346189167</v>
      </c>
      <c r="H495" t="s">
        <v>99</v>
      </c>
      <c r="I495" t="s">
        <v>105</v>
      </c>
      <c r="J495">
        <v>110</v>
      </c>
      <c r="K495">
        <v>64</v>
      </c>
      <c r="L495">
        <v>87</v>
      </c>
      <c r="M495">
        <v>1</v>
      </c>
      <c r="N495" s="5">
        <v>3065.13</v>
      </c>
      <c r="O495" t="s">
        <v>51</v>
      </c>
      <c r="P495" t="str">
        <f t="shared" si="15"/>
        <v>Hospital Central de Quelimane</v>
      </c>
      <c r="Q495" t="s">
        <v>37</v>
      </c>
      <c r="R495">
        <v>4</v>
      </c>
    </row>
    <row r="496" spans="1:18" x14ac:dyDescent="0.45">
      <c r="A496" t="s">
        <v>581</v>
      </c>
      <c r="B496" s="3">
        <v>45379</v>
      </c>
      <c r="C496">
        <v>25</v>
      </c>
      <c r="D496" t="s">
        <v>27</v>
      </c>
      <c r="E496">
        <v>70.5</v>
      </c>
      <c r="F496">
        <v>157</v>
      </c>
      <c r="G496" s="4">
        <f t="shared" si="14"/>
        <v>28.601565986449753</v>
      </c>
      <c r="H496" t="s">
        <v>99</v>
      </c>
      <c r="I496" t="s">
        <v>105</v>
      </c>
      <c r="J496">
        <v>111</v>
      </c>
      <c r="K496">
        <v>69</v>
      </c>
      <c r="L496">
        <v>92</v>
      </c>
      <c r="M496">
        <v>10</v>
      </c>
      <c r="N496" s="5">
        <v>18956.3</v>
      </c>
      <c r="O496" t="s">
        <v>23</v>
      </c>
      <c r="P496" t="str">
        <f t="shared" si="15"/>
        <v>Hospital Central de Maputo</v>
      </c>
      <c r="Q496" t="s">
        <v>24</v>
      </c>
      <c r="R496">
        <v>5</v>
      </c>
    </row>
    <row r="497" spans="1:18" x14ac:dyDescent="0.45">
      <c r="A497" t="s">
        <v>582</v>
      </c>
      <c r="B497" s="3">
        <v>45272</v>
      </c>
      <c r="C497">
        <v>18</v>
      </c>
      <c r="D497" t="s">
        <v>20</v>
      </c>
      <c r="E497">
        <v>88.4</v>
      </c>
      <c r="F497">
        <v>166.4</v>
      </c>
      <c r="G497" s="4">
        <f t="shared" si="14"/>
        <v>31.926081730769226</v>
      </c>
      <c r="H497" t="s">
        <v>46</v>
      </c>
      <c r="I497" t="s">
        <v>47</v>
      </c>
      <c r="J497">
        <v>113</v>
      </c>
      <c r="K497">
        <v>59</v>
      </c>
      <c r="L497">
        <v>93</v>
      </c>
      <c r="M497">
        <v>2</v>
      </c>
      <c r="N497" s="5">
        <v>3909.48</v>
      </c>
      <c r="O497" t="s">
        <v>57</v>
      </c>
      <c r="P497" t="str">
        <f t="shared" si="15"/>
        <v>Hospital Provincial de Tete</v>
      </c>
      <c r="Q497" t="s">
        <v>24</v>
      </c>
      <c r="R497">
        <v>3</v>
      </c>
    </row>
    <row r="498" spans="1:18" x14ac:dyDescent="0.45">
      <c r="A498" t="s">
        <v>583</v>
      </c>
      <c r="B498" s="3">
        <v>45481</v>
      </c>
      <c r="C498">
        <v>46</v>
      </c>
      <c r="D498" t="s">
        <v>27</v>
      </c>
      <c r="E498">
        <v>69.599999999999994</v>
      </c>
      <c r="F498">
        <v>163.5</v>
      </c>
      <c r="G498" s="4">
        <f t="shared" si="14"/>
        <v>26.035967791712256</v>
      </c>
      <c r="H498" t="s">
        <v>34</v>
      </c>
      <c r="I498" t="s">
        <v>128</v>
      </c>
      <c r="J498">
        <v>117</v>
      </c>
      <c r="K498">
        <v>73</v>
      </c>
      <c r="L498">
        <v>89</v>
      </c>
      <c r="M498">
        <v>1</v>
      </c>
      <c r="N498" s="5">
        <v>4045.9</v>
      </c>
      <c r="O498" t="s">
        <v>38</v>
      </c>
      <c r="P498" t="str">
        <f t="shared" si="15"/>
        <v>Hospital Provincial de Xai-Xai</v>
      </c>
      <c r="Q498" t="s">
        <v>24</v>
      </c>
      <c r="R498">
        <v>2</v>
      </c>
    </row>
    <row r="499" spans="1:18" x14ac:dyDescent="0.45">
      <c r="A499" t="s">
        <v>584</v>
      </c>
      <c r="B499" s="3">
        <v>45150</v>
      </c>
      <c r="C499">
        <v>35</v>
      </c>
      <c r="D499" t="s">
        <v>27</v>
      </c>
      <c r="E499">
        <v>63.4</v>
      </c>
      <c r="F499">
        <v>167.1</v>
      </c>
      <c r="G499" s="4">
        <f t="shared" si="14"/>
        <v>22.70577647130029</v>
      </c>
      <c r="H499" t="s">
        <v>91</v>
      </c>
      <c r="I499" t="s">
        <v>131</v>
      </c>
      <c r="J499">
        <v>85</v>
      </c>
      <c r="K499">
        <v>55</v>
      </c>
      <c r="L499">
        <v>96</v>
      </c>
      <c r="M499">
        <v>12</v>
      </c>
      <c r="N499" s="5">
        <v>30998.720000000001</v>
      </c>
      <c r="O499" t="s">
        <v>51</v>
      </c>
      <c r="P499" t="str">
        <f t="shared" si="15"/>
        <v>Hospital Central de Quelimane</v>
      </c>
      <c r="Q499" t="s">
        <v>24</v>
      </c>
      <c r="R499">
        <v>5</v>
      </c>
    </row>
    <row r="500" spans="1:18" x14ac:dyDescent="0.45">
      <c r="A500" t="s">
        <v>585</v>
      </c>
      <c r="B500" s="3">
        <v>45637</v>
      </c>
      <c r="C500">
        <v>29</v>
      </c>
      <c r="D500" t="s">
        <v>20</v>
      </c>
      <c r="E500">
        <v>61.6</v>
      </c>
      <c r="F500">
        <v>176.2</v>
      </c>
      <c r="G500" s="4">
        <f t="shared" si="14"/>
        <v>19.841244277926879</v>
      </c>
      <c r="H500" t="s">
        <v>91</v>
      </c>
      <c r="I500" t="s">
        <v>116</v>
      </c>
      <c r="J500">
        <v>113</v>
      </c>
      <c r="K500">
        <v>70</v>
      </c>
      <c r="L500">
        <v>105</v>
      </c>
      <c r="M500">
        <v>2</v>
      </c>
      <c r="N500" s="5">
        <v>7372.95</v>
      </c>
      <c r="O500" t="s">
        <v>51</v>
      </c>
      <c r="P500" t="str">
        <f t="shared" si="15"/>
        <v>Hospital Central de Quelimane</v>
      </c>
      <c r="Q500" t="s">
        <v>24</v>
      </c>
      <c r="R500">
        <v>1</v>
      </c>
    </row>
    <row r="501" spans="1:18" x14ac:dyDescent="0.45">
      <c r="A501" t="s">
        <v>586</v>
      </c>
      <c r="B501" s="3">
        <v>45054</v>
      </c>
      <c r="C501">
        <v>13</v>
      </c>
      <c r="D501" t="s">
        <v>27</v>
      </c>
      <c r="E501">
        <v>60.9</v>
      </c>
      <c r="F501">
        <v>157.80000000000001</v>
      </c>
      <c r="G501" s="4">
        <f t="shared" si="14"/>
        <v>24.457006269668007</v>
      </c>
      <c r="H501" t="s">
        <v>28</v>
      </c>
      <c r="I501" t="s">
        <v>75</v>
      </c>
      <c r="J501">
        <v>102</v>
      </c>
      <c r="K501">
        <v>59</v>
      </c>
      <c r="L501">
        <v>98</v>
      </c>
      <c r="M501">
        <v>1</v>
      </c>
      <c r="N501" s="5">
        <v>2087.6</v>
      </c>
      <c r="O501" t="s">
        <v>67</v>
      </c>
      <c r="P501" t="str">
        <f t="shared" si="15"/>
        <v>Hospital Provincial de Pemba</v>
      </c>
      <c r="Q501" t="s">
        <v>24</v>
      </c>
      <c r="R501">
        <v>5</v>
      </c>
    </row>
    <row r="502" spans="1:18" x14ac:dyDescent="0.45">
      <c r="A502" t="s">
        <v>587</v>
      </c>
      <c r="B502" s="3">
        <v>45263</v>
      </c>
      <c r="C502">
        <v>1</v>
      </c>
      <c r="D502" t="s">
        <v>20</v>
      </c>
      <c r="E502">
        <v>17.399999999999999</v>
      </c>
      <c r="F502">
        <v>93.2</v>
      </c>
      <c r="G502" s="4">
        <f t="shared" si="14"/>
        <v>20.031682292913846</v>
      </c>
      <c r="H502" t="s">
        <v>28</v>
      </c>
      <c r="I502" t="s">
        <v>73</v>
      </c>
      <c r="J502">
        <v>123</v>
      </c>
      <c r="K502">
        <v>77</v>
      </c>
      <c r="L502">
        <v>79</v>
      </c>
      <c r="M502">
        <v>3</v>
      </c>
      <c r="N502" s="5">
        <v>11617.28</v>
      </c>
      <c r="O502" t="s">
        <v>38</v>
      </c>
      <c r="P502" t="str">
        <f t="shared" si="15"/>
        <v>Hospital Provincial de Xai-Xai</v>
      </c>
      <c r="Q502" t="s">
        <v>24</v>
      </c>
      <c r="R502">
        <v>5</v>
      </c>
    </row>
    <row r="503" spans="1:18" x14ac:dyDescent="0.45">
      <c r="A503" t="s">
        <v>588</v>
      </c>
      <c r="B503" s="3">
        <v>45549</v>
      </c>
      <c r="C503">
        <v>49</v>
      </c>
      <c r="D503" t="s">
        <v>27</v>
      </c>
      <c r="E503">
        <v>64.5</v>
      </c>
      <c r="F503">
        <v>162.1</v>
      </c>
      <c r="G503" s="4">
        <f t="shared" si="14"/>
        <v>24.546732221030194</v>
      </c>
      <c r="H503" t="s">
        <v>41</v>
      </c>
      <c r="I503" t="s">
        <v>113</v>
      </c>
      <c r="J503">
        <v>147</v>
      </c>
      <c r="K503">
        <v>89</v>
      </c>
      <c r="L503">
        <v>99</v>
      </c>
      <c r="M503">
        <v>1</v>
      </c>
      <c r="N503" s="5">
        <v>2254.16</v>
      </c>
      <c r="O503" t="s">
        <v>57</v>
      </c>
      <c r="P503" t="str">
        <f t="shared" si="15"/>
        <v>Hospital Provincial de Tete</v>
      </c>
      <c r="Q503" t="s">
        <v>37</v>
      </c>
      <c r="R503">
        <v>5</v>
      </c>
    </row>
    <row r="504" spans="1:18" x14ac:dyDescent="0.45">
      <c r="A504" t="s">
        <v>589</v>
      </c>
      <c r="B504" s="3">
        <v>45168</v>
      </c>
      <c r="C504">
        <v>60</v>
      </c>
      <c r="D504" t="s">
        <v>20</v>
      </c>
      <c r="E504">
        <v>81.8</v>
      </c>
      <c r="F504">
        <v>157.6</v>
      </c>
      <c r="G504" s="4">
        <f t="shared" si="14"/>
        <v>32.933726712875888</v>
      </c>
      <c r="H504" t="s">
        <v>41</v>
      </c>
      <c r="I504" t="s">
        <v>161</v>
      </c>
      <c r="J504">
        <v>124</v>
      </c>
      <c r="K504">
        <v>80</v>
      </c>
      <c r="L504">
        <v>92</v>
      </c>
      <c r="M504">
        <v>2</v>
      </c>
      <c r="N504" s="5">
        <v>6166.55</v>
      </c>
      <c r="O504" t="s">
        <v>63</v>
      </c>
      <c r="P504" t="str">
        <f t="shared" si="15"/>
        <v>Hospital Central de Nampula</v>
      </c>
      <c r="Q504" t="s">
        <v>24</v>
      </c>
      <c r="R504">
        <v>5</v>
      </c>
    </row>
    <row r="505" spans="1:18" x14ac:dyDescent="0.45">
      <c r="A505" t="s">
        <v>590</v>
      </c>
      <c r="B505" s="3">
        <v>45334</v>
      </c>
      <c r="C505">
        <v>14</v>
      </c>
      <c r="D505" t="s">
        <v>27</v>
      </c>
      <c r="E505">
        <v>44.5</v>
      </c>
      <c r="F505">
        <v>170.4</v>
      </c>
      <c r="G505" s="4">
        <f t="shared" si="14"/>
        <v>15.325718001278407</v>
      </c>
      <c r="H505" t="s">
        <v>28</v>
      </c>
      <c r="I505" t="s">
        <v>73</v>
      </c>
      <c r="J505">
        <v>104</v>
      </c>
      <c r="K505">
        <v>65</v>
      </c>
      <c r="L505">
        <v>65</v>
      </c>
      <c r="M505">
        <v>6</v>
      </c>
      <c r="N505" s="5">
        <v>7455.79</v>
      </c>
      <c r="O505" t="s">
        <v>63</v>
      </c>
      <c r="P505" t="str">
        <f t="shared" si="15"/>
        <v>Hospital Central de Nampula</v>
      </c>
      <c r="Q505" t="s">
        <v>24</v>
      </c>
      <c r="R505">
        <v>5</v>
      </c>
    </row>
    <row r="506" spans="1:18" x14ac:dyDescent="0.45">
      <c r="A506" t="s">
        <v>591</v>
      </c>
      <c r="B506" s="3">
        <v>45536</v>
      </c>
      <c r="C506">
        <v>45</v>
      </c>
      <c r="D506" t="s">
        <v>20</v>
      </c>
      <c r="E506">
        <v>52.9</v>
      </c>
      <c r="F506">
        <v>170.9</v>
      </c>
      <c r="G506" s="4">
        <f t="shared" si="14"/>
        <v>18.112214240445976</v>
      </c>
      <c r="H506" t="s">
        <v>55</v>
      </c>
      <c r="I506" t="s">
        <v>62</v>
      </c>
      <c r="J506">
        <v>121</v>
      </c>
      <c r="K506">
        <v>73</v>
      </c>
      <c r="L506">
        <v>86</v>
      </c>
      <c r="M506">
        <v>1</v>
      </c>
      <c r="N506" s="5">
        <v>4558.9399999999996</v>
      </c>
      <c r="O506" t="s">
        <v>31</v>
      </c>
      <c r="P506" t="str">
        <f t="shared" si="15"/>
        <v>Hospital Provincial da Matola</v>
      </c>
      <c r="Q506" t="s">
        <v>24</v>
      </c>
      <c r="R506">
        <v>4</v>
      </c>
    </row>
    <row r="507" spans="1:18" x14ac:dyDescent="0.45">
      <c r="A507" t="s">
        <v>592</v>
      </c>
      <c r="B507" s="3">
        <v>45310</v>
      </c>
      <c r="C507">
        <v>23</v>
      </c>
      <c r="D507" t="s">
        <v>27</v>
      </c>
      <c r="E507">
        <v>56.3</v>
      </c>
      <c r="F507">
        <v>167.6</v>
      </c>
      <c r="G507" s="4">
        <f t="shared" si="14"/>
        <v>20.042891074897042</v>
      </c>
      <c r="H507" t="s">
        <v>91</v>
      </c>
      <c r="I507" t="s">
        <v>116</v>
      </c>
      <c r="J507">
        <v>116</v>
      </c>
      <c r="K507">
        <v>74</v>
      </c>
      <c r="L507">
        <v>87</v>
      </c>
      <c r="M507">
        <v>8</v>
      </c>
      <c r="N507" s="5">
        <v>26447.37</v>
      </c>
      <c r="O507" t="s">
        <v>67</v>
      </c>
      <c r="P507" t="str">
        <f t="shared" si="15"/>
        <v>Hospital Provincial de Pemba</v>
      </c>
      <c r="Q507" t="s">
        <v>24</v>
      </c>
      <c r="R507">
        <v>5</v>
      </c>
    </row>
    <row r="508" spans="1:18" x14ac:dyDescent="0.45">
      <c r="A508" t="s">
        <v>593</v>
      </c>
      <c r="B508" s="3">
        <v>45188</v>
      </c>
      <c r="C508">
        <v>18</v>
      </c>
      <c r="D508" t="s">
        <v>27</v>
      </c>
      <c r="E508">
        <v>48</v>
      </c>
      <c r="F508">
        <v>164</v>
      </c>
      <c r="G508" s="4">
        <f t="shared" si="14"/>
        <v>17.846519928613922</v>
      </c>
      <c r="H508" t="s">
        <v>41</v>
      </c>
      <c r="I508" t="s">
        <v>217</v>
      </c>
      <c r="J508">
        <v>85</v>
      </c>
      <c r="K508">
        <v>55</v>
      </c>
      <c r="L508">
        <v>74</v>
      </c>
      <c r="M508">
        <v>1</v>
      </c>
      <c r="N508" s="5">
        <v>5326.14</v>
      </c>
      <c r="O508" t="s">
        <v>51</v>
      </c>
      <c r="P508" t="str">
        <f t="shared" si="15"/>
        <v>Hospital Central de Quelimane</v>
      </c>
      <c r="Q508" t="s">
        <v>24</v>
      </c>
      <c r="R508">
        <v>4</v>
      </c>
    </row>
    <row r="509" spans="1:18" x14ac:dyDescent="0.45">
      <c r="A509" t="s">
        <v>594</v>
      </c>
      <c r="B509" s="3">
        <v>45194</v>
      </c>
      <c r="C509">
        <v>45</v>
      </c>
      <c r="D509" t="s">
        <v>27</v>
      </c>
      <c r="E509">
        <v>84.5</v>
      </c>
      <c r="F509">
        <v>168.4</v>
      </c>
      <c r="G509" s="4">
        <f t="shared" si="14"/>
        <v>29.796999565563265</v>
      </c>
      <c r="H509" t="s">
        <v>34</v>
      </c>
      <c r="I509" t="s">
        <v>138</v>
      </c>
      <c r="J509">
        <v>119</v>
      </c>
      <c r="K509">
        <v>65</v>
      </c>
      <c r="L509">
        <v>65</v>
      </c>
      <c r="M509">
        <v>2</v>
      </c>
      <c r="N509" s="5">
        <v>7889.42</v>
      </c>
      <c r="O509" t="s">
        <v>52</v>
      </c>
      <c r="P509" t="str">
        <f t="shared" si="15"/>
        <v>Hospital Provincial de Chimoio</v>
      </c>
      <c r="Q509" t="s">
        <v>24</v>
      </c>
      <c r="R509">
        <v>4</v>
      </c>
    </row>
    <row r="510" spans="1:18" x14ac:dyDescent="0.45">
      <c r="A510" t="s">
        <v>595</v>
      </c>
      <c r="B510" s="3">
        <v>45364</v>
      </c>
      <c r="C510">
        <v>18</v>
      </c>
      <c r="D510" t="s">
        <v>27</v>
      </c>
      <c r="E510">
        <v>47.3</v>
      </c>
      <c r="F510">
        <v>163</v>
      </c>
      <c r="G510" s="4">
        <f t="shared" si="14"/>
        <v>17.802702397530958</v>
      </c>
      <c r="H510" t="s">
        <v>46</v>
      </c>
      <c r="I510" t="s">
        <v>66</v>
      </c>
      <c r="J510">
        <v>97</v>
      </c>
      <c r="K510">
        <v>60</v>
      </c>
      <c r="L510">
        <v>65</v>
      </c>
      <c r="M510">
        <v>8</v>
      </c>
      <c r="N510" s="5">
        <v>11585.74</v>
      </c>
      <c r="O510" t="s">
        <v>63</v>
      </c>
      <c r="P510" t="str">
        <f t="shared" si="15"/>
        <v>Hospital Central de Nampula</v>
      </c>
      <c r="Q510" t="s">
        <v>37</v>
      </c>
      <c r="R510">
        <v>3</v>
      </c>
    </row>
    <row r="511" spans="1:18" x14ac:dyDescent="0.45">
      <c r="A511" t="s">
        <v>596</v>
      </c>
      <c r="B511" s="3">
        <v>45141</v>
      </c>
      <c r="C511">
        <v>48</v>
      </c>
      <c r="D511" t="s">
        <v>27</v>
      </c>
      <c r="E511">
        <v>68.599999999999994</v>
      </c>
      <c r="F511">
        <v>163.19999999999999</v>
      </c>
      <c r="G511" s="4">
        <f t="shared" si="14"/>
        <v>25.756319684736642</v>
      </c>
      <c r="H511" t="s">
        <v>46</v>
      </c>
      <c r="I511" t="s">
        <v>66</v>
      </c>
      <c r="J511">
        <v>119</v>
      </c>
      <c r="K511">
        <v>71</v>
      </c>
      <c r="L511">
        <v>70</v>
      </c>
      <c r="M511">
        <v>4</v>
      </c>
      <c r="N511" s="5">
        <v>11472.95</v>
      </c>
      <c r="O511" t="s">
        <v>30</v>
      </c>
      <c r="P511" t="str">
        <f t="shared" si="15"/>
        <v>Hospital Provincial de Inhambane</v>
      </c>
      <c r="Q511" t="s">
        <v>24</v>
      </c>
      <c r="R511">
        <v>3</v>
      </c>
    </row>
    <row r="512" spans="1:18" x14ac:dyDescent="0.45">
      <c r="A512" t="s">
        <v>597</v>
      </c>
      <c r="B512" s="3">
        <v>45113</v>
      </c>
      <c r="C512">
        <v>42</v>
      </c>
      <c r="D512" t="s">
        <v>20</v>
      </c>
      <c r="E512">
        <v>64</v>
      </c>
      <c r="F512">
        <v>157.69999999999999</v>
      </c>
      <c r="G512" s="4">
        <f t="shared" si="14"/>
        <v>25.73455052395947</v>
      </c>
      <c r="H512" t="s">
        <v>41</v>
      </c>
      <c r="I512" t="s">
        <v>217</v>
      </c>
      <c r="J512">
        <v>94</v>
      </c>
      <c r="K512">
        <v>64</v>
      </c>
      <c r="L512">
        <v>138</v>
      </c>
      <c r="M512">
        <v>8</v>
      </c>
      <c r="N512" s="5">
        <v>18739.650000000001</v>
      </c>
      <c r="O512" t="s">
        <v>23</v>
      </c>
      <c r="P512" t="str">
        <f t="shared" si="15"/>
        <v>Hospital Central de Maputo</v>
      </c>
      <c r="Q512" t="s">
        <v>24</v>
      </c>
      <c r="R512">
        <v>2</v>
      </c>
    </row>
    <row r="513" spans="1:18" x14ac:dyDescent="0.45">
      <c r="A513" t="s">
        <v>598</v>
      </c>
      <c r="B513" s="3">
        <v>45014</v>
      </c>
      <c r="C513">
        <v>41</v>
      </c>
      <c r="D513" t="s">
        <v>27</v>
      </c>
      <c r="E513">
        <v>46.2</v>
      </c>
      <c r="F513">
        <v>163.9</v>
      </c>
      <c r="G513" s="4">
        <f t="shared" si="14"/>
        <v>17.198242503408938</v>
      </c>
      <c r="H513" t="s">
        <v>21</v>
      </c>
      <c r="I513" t="s">
        <v>70</v>
      </c>
      <c r="J513">
        <v>118</v>
      </c>
      <c r="K513">
        <v>74</v>
      </c>
      <c r="L513">
        <v>103</v>
      </c>
      <c r="M513">
        <v>5</v>
      </c>
      <c r="N513" s="5">
        <v>6988.69</v>
      </c>
      <c r="O513" t="s">
        <v>36</v>
      </c>
      <c r="P513" t="str">
        <f t="shared" si="15"/>
        <v>Hospital Provincial de Lichinga</v>
      </c>
      <c r="Q513" t="s">
        <v>24</v>
      </c>
      <c r="R513">
        <v>4</v>
      </c>
    </row>
    <row r="514" spans="1:18" x14ac:dyDescent="0.45">
      <c r="A514" t="s">
        <v>599</v>
      </c>
      <c r="B514" s="3">
        <v>44934</v>
      </c>
      <c r="C514">
        <v>66</v>
      </c>
      <c r="D514" t="s">
        <v>27</v>
      </c>
      <c r="E514">
        <v>53.3</v>
      </c>
      <c r="F514">
        <v>161.69999999999999</v>
      </c>
      <c r="G514" s="4">
        <f t="shared" ref="G514:G577" si="16">E514/((F514/100)^2)</f>
        <v>20.384833530871166</v>
      </c>
      <c r="H514" t="s">
        <v>55</v>
      </c>
      <c r="I514" t="s">
        <v>56</v>
      </c>
      <c r="J514">
        <v>128</v>
      </c>
      <c r="K514">
        <v>74</v>
      </c>
      <c r="L514">
        <v>100</v>
      </c>
      <c r="M514">
        <v>8</v>
      </c>
      <c r="N514" s="5">
        <v>30222.02</v>
      </c>
      <c r="O514" t="s">
        <v>67</v>
      </c>
      <c r="P514" t="str">
        <f t="shared" ref="P514:P577" si="17">INDEX($U$2:$U$12,MATCH(O514,$T$2:$T$12,0))</f>
        <v>Hospital Provincial de Pemba</v>
      </c>
      <c r="Q514" t="s">
        <v>24</v>
      </c>
      <c r="R514">
        <v>4</v>
      </c>
    </row>
    <row r="515" spans="1:18" x14ac:dyDescent="0.45">
      <c r="A515" t="s">
        <v>600</v>
      </c>
      <c r="B515" s="3">
        <v>44985</v>
      </c>
      <c r="C515">
        <v>27</v>
      </c>
      <c r="D515" t="s">
        <v>27</v>
      </c>
      <c r="E515">
        <v>60.1</v>
      </c>
      <c r="F515">
        <v>162.30000000000001</v>
      </c>
      <c r="G515" s="4">
        <f t="shared" si="16"/>
        <v>22.815890945356127</v>
      </c>
      <c r="H515" t="s">
        <v>99</v>
      </c>
      <c r="I515" t="s">
        <v>100</v>
      </c>
      <c r="J515">
        <v>85</v>
      </c>
      <c r="K515">
        <v>57</v>
      </c>
      <c r="L515">
        <v>107</v>
      </c>
      <c r="M515">
        <v>8</v>
      </c>
      <c r="N515" s="5">
        <v>15109.92</v>
      </c>
      <c r="O515" t="s">
        <v>63</v>
      </c>
      <c r="P515" t="str">
        <f t="shared" si="17"/>
        <v>Hospital Central de Nampula</v>
      </c>
      <c r="Q515" t="s">
        <v>24</v>
      </c>
      <c r="R515">
        <v>4</v>
      </c>
    </row>
    <row r="516" spans="1:18" x14ac:dyDescent="0.45">
      <c r="A516" t="s">
        <v>601</v>
      </c>
      <c r="B516" s="3">
        <v>45601</v>
      </c>
      <c r="C516">
        <v>37</v>
      </c>
      <c r="D516" t="s">
        <v>27</v>
      </c>
      <c r="E516">
        <v>75.3</v>
      </c>
      <c r="F516">
        <v>162.4</v>
      </c>
      <c r="G516" s="4">
        <f t="shared" si="16"/>
        <v>28.551105341066268</v>
      </c>
      <c r="H516" t="s">
        <v>41</v>
      </c>
      <c r="I516" t="s">
        <v>42</v>
      </c>
      <c r="J516">
        <v>115</v>
      </c>
      <c r="K516">
        <v>81</v>
      </c>
      <c r="L516">
        <v>98</v>
      </c>
      <c r="M516">
        <v>1</v>
      </c>
      <c r="N516" s="5">
        <v>4402.87</v>
      </c>
      <c r="O516" t="s">
        <v>43</v>
      </c>
      <c r="P516" t="str">
        <f t="shared" si="17"/>
        <v>Hospital Central da Beira</v>
      </c>
      <c r="Q516" t="s">
        <v>24</v>
      </c>
      <c r="R516">
        <v>2</v>
      </c>
    </row>
    <row r="517" spans="1:18" x14ac:dyDescent="0.45">
      <c r="A517" t="s">
        <v>602</v>
      </c>
      <c r="B517" s="3">
        <v>45365</v>
      </c>
      <c r="C517">
        <v>61</v>
      </c>
      <c r="D517" t="s">
        <v>27</v>
      </c>
      <c r="E517">
        <v>61.8</v>
      </c>
      <c r="F517">
        <v>147.69999999999999</v>
      </c>
      <c r="G517" s="4">
        <f t="shared" si="16"/>
        <v>28.328754740367881</v>
      </c>
      <c r="H517" t="s">
        <v>34</v>
      </c>
      <c r="I517" t="s">
        <v>35</v>
      </c>
      <c r="J517">
        <v>132</v>
      </c>
      <c r="K517">
        <v>86</v>
      </c>
      <c r="L517">
        <v>109</v>
      </c>
      <c r="M517">
        <v>3</v>
      </c>
      <c r="N517" s="5">
        <v>10776.31</v>
      </c>
      <c r="O517" t="s">
        <v>23</v>
      </c>
      <c r="P517" t="str">
        <f t="shared" si="17"/>
        <v>Hospital Central de Maputo</v>
      </c>
      <c r="Q517" t="s">
        <v>37</v>
      </c>
      <c r="R517">
        <v>4</v>
      </c>
    </row>
    <row r="518" spans="1:18" x14ac:dyDescent="0.45">
      <c r="A518" t="s">
        <v>603</v>
      </c>
      <c r="B518" s="3">
        <v>45616</v>
      </c>
      <c r="C518">
        <v>14</v>
      </c>
      <c r="D518" t="s">
        <v>27</v>
      </c>
      <c r="E518">
        <v>65.7</v>
      </c>
      <c r="F518">
        <v>151.80000000000001</v>
      </c>
      <c r="G518" s="4">
        <f t="shared" si="16"/>
        <v>28.511615554062708</v>
      </c>
      <c r="H518" t="s">
        <v>28</v>
      </c>
      <c r="I518" t="s">
        <v>29</v>
      </c>
      <c r="J518">
        <v>105</v>
      </c>
      <c r="K518">
        <v>68</v>
      </c>
      <c r="L518">
        <v>113</v>
      </c>
      <c r="M518">
        <v>1</v>
      </c>
      <c r="N518" s="5">
        <v>3875.32</v>
      </c>
      <c r="O518" t="s">
        <v>67</v>
      </c>
      <c r="P518" t="str">
        <f t="shared" si="17"/>
        <v>Hospital Provincial de Pemba</v>
      </c>
      <c r="Q518" t="s">
        <v>24</v>
      </c>
      <c r="R518">
        <v>4</v>
      </c>
    </row>
    <row r="519" spans="1:18" x14ac:dyDescent="0.45">
      <c r="A519" t="s">
        <v>604</v>
      </c>
      <c r="B519" s="3">
        <v>45214</v>
      </c>
      <c r="C519">
        <v>28</v>
      </c>
      <c r="D519" t="s">
        <v>20</v>
      </c>
      <c r="E519">
        <v>58.6</v>
      </c>
      <c r="F519">
        <v>175.8</v>
      </c>
      <c r="G519" s="4">
        <f t="shared" si="16"/>
        <v>18.960940462646946</v>
      </c>
      <c r="H519" t="s">
        <v>46</v>
      </c>
      <c r="I519" t="s">
        <v>66</v>
      </c>
      <c r="J519">
        <v>97</v>
      </c>
      <c r="K519">
        <v>55</v>
      </c>
      <c r="L519">
        <v>74</v>
      </c>
      <c r="M519">
        <v>6</v>
      </c>
      <c r="N519" s="5">
        <v>11286.45</v>
      </c>
      <c r="O519" t="s">
        <v>57</v>
      </c>
      <c r="P519" t="str">
        <f t="shared" si="17"/>
        <v>Hospital Provincial de Tete</v>
      </c>
      <c r="Q519" t="s">
        <v>202</v>
      </c>
      <c r="R519">
        <v>2</v>
      </c>
    </row>
    <row r="520" spans="1:18" x14ac:dyDescent="0.45">
      <c r="A520" t="s">
        <v>605</v>
      </c>
      <c r="B520" s="3">
        <v>45278</v>
      </c>
      <c r="C520">
        <v>23</v>
      </c>
      <c r="D520" t="s">
        <v>27</v>
      </c>
      <c r="E520">
        <v>46.7</v>
      </c>
      <c r="F520">
        <v>154</v>
      </c>
      <c r="G520" s="4">
        <f t="shared" si="16"/>
        <v>19.691347613425538</v>
      </c>
      <c r="H520" t="s">
        <v>34</v>
      </c>
      <c r="I520" t="s">
        <v>35</v>
      </c>
      <c r="J520">
        <v>121</v>
      </c>
      <c r="K520">
        <v>73</v>
      </c>
      <c r="L520">
        <v>89</v>
      </c>
      <c r="M520">
        <v>1</v>
      </c>
      <c r="N520" s="5">
        <v>2810.92</v>
      </c>
      <c r="O520" t="s">
        <v>57</v>
      </c>
      <c r="P520" t="str">
        <f t="shared" si="17"/>
        <v>Hospital Provincial de Tete</v>
      </c>
      <c r="Q520" t="s">
        <v>24</v>
      </c>
      <c r="R520">
        <v>5</v>
      </c>
    </row>
    <row r="521" spans="1:18" x14ac:dyDescent="0.45">
      <c r="A521" t="s">
        <v>606</v>
      </c>
      <c r="B521" s="3">
        <v>45513</v>
      </c>
      <c r="C521">
        <v>51</v>
      </c>
      <c r="D521" t="s">
        <v>27</v>
      </c>
      <c r="E521">
        <v>59.5</v>
      </c>
      <c r="F521">
        <v>174.3</v>
      </c>
      <c r="G521" s="4">
        <f t="shared" si="16"/>
        <v>19.584937570131355</v>
      </c>
      <c r="H521" t="s">
        <v>21</v>
      </c>
      <c r="I521" t="s">
        <v>123</v>
      </c>
      <c r="J521">
        <v>124</v>
      </c>
      <c r="K521">
        <v>76</v>
      </c>
      <c r="L521">
        <v>65</v>
      </c>
      <c r="M521">
        <v>15</v>
      </c>
      <c r="N521" s="5">
        <v>26259.26</v>
      </c>
      <c r="O521" t="s">
        <v>51</v>
      </c>
      <c r="P521" t="str">
        <f t="shared" si="17"/>
        <v>Hospital Central de Quelimane</v>
      </c>
      <c r="Q521" t="s">
        <v>37</v>
      </c>
      <c r="R521">
        <v>4</v>
      </c>
    </row>
    <row r="522" spans="1:18" x14ac:dyDescent="0.45">
      <c r="A522" t="s">
        <v>607</v>
      </c>
      <c r="B522" s="3">
        <v>45543</v>
      </c>
      <c r="C522">
        <v>30</v>
      </c>
      <c r="D522" t="s">
        <v>20</v>
      </c>
      <c r="E522">
        <v>60.8</v>
      </c>
      <c r="F522">
        <v>153.30000000000001</v>
      </c>
      <c r="G522" s="4">
        <f t="shared" si="16"/>
        <v>25.871360616555364</v>
      </c>
      <c r="H522" t="s">
        <v>21</v>
      </c>
      <c r="I522" t="s">
        <v>22</v>
      </c>
      <c r="J522">
        <v>154</v>
      </c>
      <c r="K522">
        <v>106</v>
      </c>
      <c r="L522">
        <v>100</v>
      </c>
      <c r="M522">
        <v>2</v>
      </c>
      <c r="N522" s="5">
        <v>5618.94</v>
      </c>
      <c r="O522" t="s">
        <v>51</v>
      </c>
      <c r="P522" t="str">
        <f t="shared" si="17"/>
        <v>Hospital Central de Quelimane</v>
      </c>
      <c r="Q522" t="s">
        <v>37</v>
      </c>
      <c r="R522">
        <v>5</v>
      </c>
    </row>
    <row r="523" spans="1:18" x14ac:dyDescent="0.45">
      <c r="A523" t="s">
        <v>608</v>
      </c>
      <c r="B523" s="3">
        <v>45540</v>
      </c>
      <c r="C523">
        <v>20</v>
      </c>
      <c r="D523" t="s">
        <v>27</v>
      </c>
      <c r="E523">
        <v>87</v>
      </c>
      <c r="F523">
        <v>160.4</v>
      </c>
      <c r="G523" s="4">
        <f t="shared" si="16"/>
        <v>33.815088214625526</v>
      </c>
      <c r="H523" t="s">
        <v>91</v>
      </c>
      <c r="I523" t="s">
        <v>92</v>
      </c>
      <c r="J523">
        <v>92</v>
      </c>
      <c r="K523">
        <v>55</v>
      </c>
      <c r="L523">
        <v>91</v>
      </c>
      <c r="M523">
        <v>13</v>
      </c>
      <c r="N523" s="5">
        <v>16570.150000000001</v>
      </c>
      <c r="O523" t="s">
        <v>31</v>
      </c>
      <c r="P523" t="str">
        <f t="shared" si="17"/>
        <v>Hospital Provincial da Matola</v>
      </c>
      <c r="Q523" t="s">
        <v>24</v>
      </c>
      <c r="R523">
        <v>5</v>
      </c>
    </row>
    <row r="524" spans="1:18" x14ac:dyDescent="0.45">
      <c r="A524" t="s">
        <v>609</v>
      </c>
      <c r="B524" s="3">
        <v>45157</v>
      </c>
      <c r="C524">
        <v>51</v>
      </c>
      <c r="D524" t="s">
        <v>20</v>
      </c>
      <c r="E524">
        <v>48.8</v>
      </c>
      <c r="F524">
        <v>172</v>
      </c>
      <c r="G524" s="4">
        <f t="shared" si="16"/>
        <v>16.495402920497568</v>
      </c>
      <c r="H524" t="s">
        <v>34</v>
      </c>
      <c r="I524" t="s">
        <v>138</v>
      </c>
      <c r="J524">
        <v>113</v>
      </c>
      <c r="K524">
        <v>80</v>
      </c>
      <c r="L524">
        <v>100</v>
      </c>
      <c r="M524">
        <v>1</v>
      </c>
      <c r="N524" s="5">
        <v>3711.81</v>
      </c>
      <c r="O524" t="s">
        <v>43</v>
      </c>
      <c r="P524" t="str">
        <f t="shared" si="17"/>
        <v>Hospital Central da Beira</v>
      </c>
      <c r="Q524" t="s">
        <v>24</v>
      </c>
      <c r="R524">
        <v>4</v>
      </c>
    </row>
    <row r="525" spans="1:18" x14ac:dyDescent="0.45">
      <c r="A525" t="s">
        <v>610</v>
      </c>
      <c r="B525" s="3">
        <v>45000</v>
      </c>
      <c r="C525">
        <v>6</v>
      </c>
      <c r="D525" t="s">
        <v>27</v>
      </c>
      <c r="E525">
        <v>31.2</v>
      </c>
      <c r="F525">
        <v>97.6</v>
      </c>
      <c r="G525" s="4">
        <f t="shared" si="16"/>
        <v>32.753292125772639</v>
      </c>
      <c r="H525" t="s">
        <v>28</v>
      </c>
      <c r="I525" t="s">
        <v>73</v>
      </c>
      <c r="J525">
        <v>108</v>
      </c>
      <c r="K525">
        <v>70</v>
      </c>
      <c r="L525">
        <v>65</v>
      </c>
      <c r="M525">
        <v>1</v>
      </c>
      <c r="N525" s="5">
        <v>4592.1499999999996</v>
      </c>
      <c r="O525" t="s">
        <v>51</v>
      </c>
      <c r="P525" t="str">
        <f t="shared" si="17"/>
        <v>Hospital Central de Quelimane</v>
      </c>
      <c r="Q525" t="s">
        <v>24</v>
      </c>
      <c r="R525">
        <v>4</v>
      </c>
    </row>
    <row r="526" spans="1:18" x14ac:dyDescent="0.45">
      <c r="A526" t="s">
        <v>611</v>
      </c>
      <c r="B526" s="3">
        <v>45421</v>
      </c>
      <c r="C526">
        <v>30</v>
      </c>
      <c r="D526" t="s">
        <v>27</v>
      </c>
      <c r="E526">
        <v>63.9</v>
      </c>
      <c r="F526">
        <v>178.7</v>
      </c>
      <c r="G526" s="4">
        <f t="shared" si="16"/>
        <v>20.010214917223788</v>
      </c>
      <c r="H526" t="s">
        <v>99</v>
      </c>
      <c r="I526" t="s">
        <v>103</v>
      </c>
      <c r="J526">
        <v>110</v>
      </c>
      <c r="K526">
        <v>67</v>
      </c>
      <c r="L526">
        <v>65</v>
      </c>
      <c r="M526">
        <v>4</v>
      </c>
      <c r="N526" s="5">
        <v>13751.63</v>
      </c>
      <c r="O526" t="s">
        <v>67</v>
      </c>
      <c r="P526" t="str">
        <f t="shared" si="17"/>
        <v>Hospital Provincial de Pemba</v>
      </c>
      <c r="Q526" t="s">
        <v>24</v>
      </c>
      <c r="R526">
        <v>5</v>
      </c>
    </row>
    <row r="527" spans="1:18" x14ac:dyDescent="0.45">
      <c r="A527" t="s">
        <v>612</v>
      </c>
      <c r="B527" s="3">
        <v>44984</v>
      </c>
      <c r="C527">
        <v>18</v>
      </c>
      <c r="D527" t="s">
        <v>20</v>
      </c>
      <c r="E527">
        <v>81.3</v>
      </c>
      <c r="F527">
        <v>166.5</v>
      </c>
      <c r="G527" s="4">
        <f t="shared" si="16"/>
        <v>29.326623921218513</v>
      </c>
      <c r="H527" t="s">
        <v>91</v>
      </c>
      <c r="I527" t="s">
        <v>92</v>
      </c>
      <c r="J527">
        <v>105</v>
      </c>
      <c r="K527">
        <v>55</v>
      </c>
      <c r="L527">
        <v>65</v>
      </c>
      <c r="M527">
        <v>3</v>
      </c>
      <c r="N527" s="5">
        <v>6192.94</v>
      </c>
      <c r="O527" t="s">
        <v>38</v>
      </c>
      <c r="P527" t="str">
        <f t="shared" si="17"/>
        <v>Hospital Provincial de Xai-Xai</v>
      </c>
      <c r="Q527" t="s">
        <v>24</v>
      </c>
      <c r="R527">
        <v>4</v>
      </c>
    </row>
    <row r="528" spans="1:18" x14ac:dyDescent="0.45">
      <c r="A528" t="s">
        <v>613</v>
      </c>
      <c r="B528" s="3">
        <v>45103</v>
      </c>
      <c r="C528">
        <v>63</v>
      </c>
      <c r="D528" t="s">
        <v>27</v>
      </c>
      <c r="E528">
        <v>68.2</v>
      </c>
      <c r="F528">
        <v>162.30000000000001</v>
      </c>
      <c r="G528" s="4">
        <f t="shared" si="16"/>
        <v>25.890911189239397</v>
      </c>
      <c r="H528" t="s">
        <v>46</v>
      </c>
      <c r="I528" t="s">
        <v>47</v>
      </c>
      <c r="J528">
        <v>101</v>
      </c>
      <c r="K528">
        <v>59</v>
      </c>
      <c r="L528">
        <v>80</v>
      </c>
      <c r="M528">
        <v>4</v>
      </c>
      <c r="N528" s="5">
        <v>7951.37</v>
      </c>
      <c r="O528" t="s">
        <v>23</v>
      </c>
      <c r="P528" t="str">
        <f t="shared" si="17"/>
        <v>Hospital Central de Maputo</v>
      </c>
      <c r="Q528" t="s">
        <v>24</v>
      </c>
      <c r="R528">
        <v>4</v>
      </c>
    </row>
    <row r="529" spans="1:18" x14ac:dyDescent="0.45">
      <c r="A529" t="s">
        <v>614</v>
      </c>
      <c r="B529" s="3">
        <v>45448</v>
      </c>
      <c r="C529">
        <v>18</v>
      </c>
      <c r="D529" t="s">
        <v>20</v>
      </c>
      <c r="E529">
        <v>62.1</v>
      </c>
      <c r="F529">
        <v>157.80000000000001</v>
      </c>
      <c r="G529" s="4">
        <f t="shared" si="16"/>
        <v>24.938917723257525</v>
      </c>
      <c r="H529" t="s">
        <v>21</v>
      </c>
      <c r="I529" t="s">
        <v>123</v>
      </c>
      <c r="J529">
        <v>102</v>
      </c>
      <c r="K529">
        <v>58</v>
      </c>
      <c r="L529">
        <v>78</v>
      </c>
      <c r="M529">
        <v>39</v>
      </c>
      <c r="N529" s="5">
        <v>99660.43</v>
      </c>
      <c r="O529" t="s">
        <v>23</v>
      </c>
      <c r="P529" t="str">
        <f t="shared" si="17"/>
        <v>Hospital Central de Maputo</v>
      </c>
      <c r="Q529" t="s">
        <v>24</v>
      </c>
      <c r="R529">
        <v>5</v>
      </c>
    </row>
    <row r="530" spans="1:18" x14ac:dyDescent="0.45">
      <c r="A530" t="s">
        <v>615</v>
      </c>
      <c r="B530" s="3">
        <v>45477</v>
      </c>
      <c r="C530">
        <v>32</v>
      </c>
      <c r="D530" t="s">
        <v>20</v>
      </c>
      <c r="E530">
        <v>85</v>
      </c>
      <c r="F530">
        <v>154.4</v>
      </c>
      <c r="G530" s="4">
        <f t="shared" si="16"/>
        <v>35.655319605895457</v>
      </c>
      <c r="H530" t="s">
        <v>91</v>
      </c>
      <c r="I530" t="s">
        <v>131</v>
      </c>
      <c r="J530">
        <v>121</v>
      </c>
      <c r="K530">
        <v>64</v>
      </c>
      <c r="L530">
        <v>81</v>
      </c>
      <c r="M530">
        <v>4</v>
      </c>
      <c r="N530" s="5">
        <v>11775.41</v>
      </c>
      <c r="O530" t="s">
        <v>51</v>
      </c>
      <c r="P530" t="str">
        <f t="shared" si="17"/>
        <v>Hospital Central de Quelimane</v>
      </c>
      <c r="Q530" t="s">
        <v>24</v>
      </c>
      <c r="R530">
        <v>5</v>
      </c>
    </row>
    <row r="531" spans="1:18" x14ac:dyDescent="0.45">
      <c r="A531" t="s">
        <v>616</v>
      </c>
      <c r="B531" s="3">
        <v>45638</v>
      </c>
      <c r="C531">
        <v>24</v>
      </c>
      <c r="D531" t="s">
        <v>20</v>
      </c>
      <c r="E531">
        <v>69.599999999999994</v>
      </c>
      <c r="F531">
        <v>165.5</v>
      </c>
      <c r="G531" s="4">
        <f t="shared" si="16"/>
        <v>25.410501912176773</v>
      </c>
      <c r="H531" t="s">
        <v>21</v>
      </c>
      <c r="I531" t="s">
        <v>22</v>
      </c>
      <c r="J531">
        <v>140</v>
      </c>
      <c r="K531">
        <v>90</v>
      </c>
      <c r="L531">
        <v>108</v>
      </c>
      <c r="M531">
        <v>7</v>
      </c>
      <c r="N531" s="5">
        <v>10501.36</v>
      </c>
      <c r="O531" t="s">
        <v>52</v>
      </c>
      <c r="P531" t="str">
        <f t="shared" si="17"/>
        <v>Hospital Provincial de Chimoio</v>
      </c>
      <c r="Q531" t="s">
        <v>24</v>
      </c>
      <c r="R531">
        <v>4</v>
      </c>
    </row>
    <row r="532" spans="1:18" x14ac:dyDescent="0.45">
      <c r="A532" t="s">
        <v>617</v>
      </c>
      <c r="B532" s="3">
        <v>45360</v>
      </c>
      <c r="C532">
        <v>1</v>
      </c>
      <c r="D532" t="s">
        <v>20</v>
      </c>
      <c r="E532">
        <v>14.9</v>
      </c>
      <c r="F532">
        <v>90.9</v>
      </c>
      <c r="G532" s="4">
        <f t="shared" si="16"/>
        <v>18.032606340942124</v>
      </c>
      <c r="H532" t="s">
        <v>28</v>
      </c>
      <c r="I532" t="s">
        <v>50</v>
      </c>
      <c r="J532">
        <v>85</v>
      </c>
      <c r="K532">
        <v>55</v>
      </c>
      <c r="L532">
        <v>65</v>
      </c>
      <c r="M532">
        <v>1</v>
      </c>
      <c r="N532" s="5">
        <v>3388.38</v>
      </c>
      <c r="O532" t="s">
        <v>23</v>
      </c>
      <c r="P532" t="str">
        <f t="shared" si="17"/>
        <v>Hospital Central de Maputo</v>
      </c>
      <c r="Q532" t="s">
        <v>37</v>
      </c>
      <c r="R532">
        <v>3</v>
      </c>
    </row>
    <row r="533" spans="1:18" x14ac:dyDescent="0.45">
      <c r="A533" t="s">
        <v>618</v>
      </c>
      <c r="B533" s="3">
        <v>45119</v>
      </c>
      <c r="C533">
        <v>30</v>
      </c>
      <c r="D533" t="s">
        <v>20</v>
      </c>
      <c r="E533">
        <v>59.7</v>
      </c>
      <c r="F533">
        <v>174.8</v>
      </c>
      <c r="G533" s="4">
        <f t="shared" si="16"/>
        <v>19.538511486157436</v>
      </c>
      <c r="H533" t="s">
        <v>91</v>
      </c>
      <c r="I533" t="s">
        <v>110</v>
      </c>
      <c r="J533">
        <v>114</v>
      </c>
      <c r="K533">
        <v>76</v>
      </c>
      <c r="L533">
        <v>106</v>
      </c>
      <c r="M533">
        <v>1</v>
      </c>
      <c r="N533" s="5">
        <v>3269.95</v>
      </c>
      <c r="O533" t="s">
        <v>63</v>
      </c>
      <c r="P533" t="str">
        <f t="shared" si="17"/>
        <v>Hospital Central de Nampula</v>
      </c>
      <c r="Q533" t="s">
        <v>24</v>
      </c>
      <c r="R533">
        <v>2</v>
      </c>
    </row>
    <row r="534" spans="1:18" x14ac:dyDescent="0.45">
      <c r="A534" t="s">
        <v>619</v>
      </c>
      <c r="B534" s="3">
        <v>45187</v>
      </c>
      <c r="C534">
        <v>55</v>
      </c>
      <c r="D534" t="s">
        <v>27</v>
      </c>
      <c r="E534">
        <v>63</v>
      </c>
      <c r="F534">
        <v>159.6</v>
      </c>
      <c r="G534" s="4">
        <f t="shared" si="16"/>
        <v>24.732884843688172</v>
      </c>
      <c r="H534" t="s">
        <v>34</v>
      </c>
      <c r="I534" t="s">
        <v>138</v>
      </c>
      <c r="J534">
        <v>117</v>
      </c>
      <c r="K534">
        <v>55</v>
      </c>
      <c r="L534">
        <v>87</v>
      </c>
      <c r="M534">
        <v>1</v>
      </c>
      <c r="N534" s="5">
        <v>5555.41</v>
      </c>
      <c r="O534" t="s">
        <v>57</v>
      </c>
      <c r="P534" t="str">
        <f t="shared" si="17"/>
        <v>Hospital Provincial de Tete</v>
      </c>
      <c r="Q534" t="s">
        <v>24</v>
      </c>
      <c r="R534">
        <v>3</v>
      </c>
    </row>
    <row r="535" spans="1:18" x14ac:dyDescent="0.45">
      <c r="A535" t="s">
        <v>620</v>
      </c>
      <c r="B535" s="3">
        <v>45371</v>
      </c>
      <c r="C535">
        <v>27</v>
      </c>
      <c r="D535" t="s">
        <v>27</v>
      </c>
      <c r="E535">
        <v>66.900000000000006</v>
      </c>
      <c r="F535">
        <v>167.1</v>
      </c>
      <c r="G535" s="4">
        <f t="shared" si="16"/>
        <v>23.959249935804252</v>
      </c>
      <c r="H535" t="s">
        <v>21</v>
      </c>
      <c r="I535" t="s">
        <v>70</v>
      </c>
      <c r="J535">
        <v>122</v>
      </c>
      <c r="K535">
        <v>80</v>
      </c>
      <c r="L535">
        <v>122</v>
      </c>
      <c r="M535">
        <v>1</v>
      </c>
      <c r="N535" s="5">
        <v>3114.17</v>
      </c>
      <c r="O535" t="s">
        <v>63</v>
      </c>
      <c r="P535" t="str">
        <f t="shared" si="17"/>
        <v>Hospital Central de Nampula</v>
      </c>
      <c r="Q535" t="s">
        <v>24</v>
      </c>
      <c r="R535">
        <v>1</v>
      </c>
    </row>
    <row r="536" spans="1:18" x14ac:dyDescent="0.45">
      <c r="A536" t="s">
        <v>621</v>
      </c>
      <c r="B536" s="3">
        <v>45313</v>
      </c>
      <c r="C536">
        <v>47</v>
      </c>
      <c r="D536" t="s">
        <v>20</v>
      </c>
      <c r="E536">
        <v>58</v>
      </c>
      <c r="F536">
        <v>163.9</v>
      </c>
      <c r="G536" s="4">
        <f t="shared" si="16"/>
        <v>21.590867212071828</v>
      </c>
      <c r="H536" t="s">
        <v>91</v>
      </c>
      <c r="I536" t="s">
        <v>92</v>
      </c>
      <c r="J536">
        <v>94</v>
      </c>
      <c r="K536">
        <v>56</v>
      </c>
      <c r="L536">
        <v>65</v>
      </c>
      <c r="M536">
        <v>1</v>
      </c>
      <c r="N536" s="5">
        <v>4076.16</v>
      </c>
      <c r="O536" t="s">
        <v>38</v>
      </c>
      <c r="P536" t="str">
        <f t="shared" si="17"/>
        <v>Hospital Provincial de Xai-Xai</v>
      </c>
      <c r="Q536" t="s">
        <v>24</v>
      </c>
      <c r="R536">
        <v>2</v>
      </c>
    </row>
    <row r="537" spans="1:18" x14ac:dyDescent="0.45">
      <c r="A537" t="s">
        <v>622</v>
      </c>
      <c r="B537" s="3">
        <v>44976</v>
      </c>
      <c r="C537">
        <v>21</v>
      </c>
      <c r="D537" t="s">
        <v>20</v>
      </c>
      <c r="E537">
        <v>83.7</v>
      </c>
      <c r="F537">
        <v>169.9</v>
      </c>
      <c r="G537" s="4">
        <f t="shared" si="16"/>
        <v>28.996040672056857</v>
      </c>
      <c r="H537" t="s">
        <v>91</v>
      </c>
      <c r="I537" t="s">
        <v>131</v>
      </c>
      <c r="J537">
        <v>99</v>
      </c>
      <c r="K537">
        <v>55</v>
      </c>
      <c r="L537">
        <v>65</v>
      </c>
      <c r="M537">
        <v>2</v>
      </c>
      <c r="N537" s="5">
        <v>5927.72</v>
      </c>
      <c r="O537" t="s">
        <v>51</v>
      </c>
      <c r="P537" t="str">
        <f t="shared" si="17"/>
        <v>Hospital Central de Quelimane</v>
      </c>
      <c r="Q537" t="s">
        <v>24</v>
      </c>
      <c r="R537">
        <v>4</v>
      </c>
    </row>
    <row r="538" spans="1:18" x14ac:dyDescent="0.45">
      <c r="A538" t="s">
        <v>623</v>
      </c>
      <c r="B538" s="3">
        <v>45073</v>
      </c>
      <c r="C538">
        <v>26</v>
      </c>
      <c r="D538" t="s">
        <v>27</v>
      </c>
      <c r="E538">
        <v>70.3</v>
      </c>
      <c r="F538">
        <v>176.7</v>
      </c>
      <c r="G538" s="4">
        <f t="shared" si="16"/>
        <v>22.515532674906133</v>
      </c>
      <c r="H538" t="s">
        <v>55</v>
      </c>
      <c r="I538" t="s">
        <v>62</v>
      </c>
      <c r="J538">
        <v>128</v>
      </c>
      <c r="K538">
        <v>77</v>
      </c>
      <c r="L538">
        <v>88</v>
      </c>
      <c r="M538">
        <v>4</v>
      </c>
      <c r="N538" s="5">
        <v>10441.93</v>
      </c>
      <c r="O538" t="s">
        <v>63</v>
      </c>
      <c r="P538" t="str">
        <f t="shared" si="17"/>
        <v>Hospital Central de Nampula</v>
      </c>
      <c r="Q538" t="s">
        <v>24</v>
      </c>
      <c r="R538">
        <v>3</v>
      </c>
    </row>
    <row r="539" spans="1:18" x14ac:dyDescent="0.45">
      <c r="A539" t="s">
        <v>624</v>
      </c>
      <c r="B539" s="3">
        <v>45365</v>
      </c>
      <c r="C539">
        <v>61</v>
      </c>
      <c r="D539" t="s">
        <v>20</v>
      </c>
      <c r="E539">
        <v>60</v>
      </c>
      <c r="F539">
        <v>171.7</v>
      </c>
      <c r="G539" s="4">
        <f t="shared" si="16"/>
        <v>20.352167115714625</v>
      </c>
      <c r="H539" t="s">
        <v>91</v>
      </c>
      <c r="I539" t="s">
        <v>92</v>
      </c>
      <c r="J539">
        <v>122</v>
      </c>
      <c r="K539">
        <v>78</v>
      </c>
      <c r="L539">
        <v>117</v>
      </c>
      <c r="M539">
        <v>11</v>
      </c>
      <c r="N539" s="5">
        <v>14855.34</v>
      </c>
      <c r="O539" t="s">
        <v>51</v>
      </c>
      <c r="P539" t="str">
        <f t="shared" si="17"/>
        <v>Hospital Central de Quelimane</v>
      </c>
      <c r="Q539" t="s">
        <v>24</v>
      </c>
      <c r="R539">
        <v>4</v>
      </c>
    </row>
    <row r="540" spans="1:18" x14ac:dyDescent="0.45">
      <c r="A540" t="s">
        <v>625</v>
      </c>
      <c r="B540" s="3">
        <v>44937</v>
      </c>
      <c r="C540">
        <v>51</v>
      </c>
      <c r="D540" t="s">
        <v>27</v>
      </c>
      <c r="E540">
        <v>65.8</v>
      </c>
      <c r="F540">
        <v>152.30000000000001</v>
      </c>
      <c r="G540" s="4">
        <f t="shared" si="16"/>
        <v>28.367828123726834</v>
      </c>
      <c r="H540" t="s">
        <v>46</v>
      </c>
      <c r="I540" t="s">
        <v>94</v>
      </c>
      <c r="J540">
        <v>145</v>
      </c>
      <c r="K540">
        <v>89</v>
      </c>
      <c r="L540">
        <v>85</v>
      </c>
      <c r="M540">
        <v>3</v>
      </c>
      <c r="N540" s="5">
        <v>11897.46</v>
      </c>
      <c r="O540" t="s">
        <v>51</v>
      </c>
      <c r="P540" t="str">
        <f t="shared" si="17"/>
        <v>Hospital Central de Quelimane</v>
      </c>
      <c r="Q540" t="s">
        <v>24</v>
      </c>
      <c r="R540">
        <v>5</v>
      </c>
    </row>
    <row r="541" spans="1:18" x14ac:dyDescent="0.45">
      <c r="A541" t="s">
        <v>626</v>
      </c>
      <c r="B541" s="3">
        <v>45177</v>
      </c>
      <c r="C541">
        <v>21</v>
      </c>
      <c r="D541" t="s">
        <v>20</v>
      </c>
      <c r="E541">
        <v>41.9</v>
      </c>
      <c r="F541">
        <v>154.5</v>
      </c>
      <c r="G541" s="4">
        <f t="shared" si="16"/>
        <v>17.55323048564636</v>
      </c>
      <c r="H541" t="s">
        <v>55</v>
      </c>
      <c r="I541" t="s">
        <v>197</v>
      </c>
      <c r="J541">
        <v>99</v>
      </c>
      <c r="K541">
        <v>60</v>
      </c>
      <c r="L541">
        <v>118</v>
      </c>
      <c r="M541">
        <v>2</v>
      </c>
      <c r="N541" s="5">
        <v>9591.86</v>
      </c>
      <c r="O541" t="s">
        <v>30</v>
      </c>
      <c r="P541" t="str">
        <f t="shared" si="17"/>
        <v>Hospital Provincial de Inhambane</v>
      </c>
      <c r="Q541" t="s">
        <v>24</v>
      </c>
      <c r="R541">
        <v>3</v>
      </c>
    </row>
    <row r="542" spans="1:18" x14ac:dyDescent="0.45">
      <c r="A542" t="s">
        <v>627</v>
      </c>
      <c r="B542" s="3">
        <v>45622</v>
      </c>
      <c r="C542">
        <v>33</v>
      </c>
      <c r="D542" t="s">
        <v>27</v>
      </c>
      <c r="E542">
        <v>77.400000000000006</v>
      </c>
      <c r="F542">
        <v>160.4</v>
      </c>
      <c r="G542" s="4">
        <f t="shared" si="16"/>
        <v>30.083768135770296</v>
      </c>
      <c r="H542" t="s">
        <v>99</v>
      </c>
      <c r="I542" t="s">
        <v>105</v>
      </c>
      <c r="J542">
        <v>113</v>
      </c>
      <c r="K542">
        <v>70</v>
      </c>
      <c r="L542">
        <v>77</v>
      </c>
      <c r="M542">
        <v>10</v>
      </c>
      <c r="N542" s="5">
        <v>33942.83</v>
      </c>
      <c r="O542" t="s">
        <v>52</v>
      </c>
      <c r="P542" t="str">
        <f t="shared" si="17"/>
        <v>Hospital Provincial de Chimoio</v>
      </c>
      <c r="Q542" t="s">
        <v>37</v>
      </c>
      <c r="R542">
        <v>5</v>
      </c>
    </row>
    <row r="543" spans="1:18" x14ac:dyDescent="0.45">
      <c r="A543" t="s">
        <v>628</v>
      </c>
      <c r="B543" s="3">
        <v>45559</v>
      </c>
      <c r="C543">
        <v>25</v>
      </c>
      <c r="D543" t="s">
        <v>27</v>
      </c>
      <c r="E543">
        <v>56.9</v>
      </c>
      <c r="F543">
        <v>157</v>
      </c>
      <c r="G543" s="4">
        <f t="shared" si="16"/>
        <v>23.084100774879303</v>
      </c>
      <c r="H543" t="s">
        <v>21</v>
      </c>
      <c r="I543" t="s">
        <v>22</v>
      </c>
      <c r="J543">
        <v>134</v>
      </c>
      <c r="K543">
        <v>83</v>
      </c>
      <c r="L543">
        <v>97</v>
      </c>
      <c r="M543">
        <v>1</v>
      </c>
      <c r="N543" s="5">
        <v>3258.42</v>
      </c>
      <c r="O543" t="s">
        <v>23</v>
      </c>
      <c r="P543" t="str">
        <f t="shared" si="17"/>
        <v>Hospital Central de Maputo</v>
      </c>
      <c r="Q543" t="s">
        <v>24</v>
      </c>
      <c r="R543">
        <v>3</v>
      </c>
    </row>
    <row r="544" spans="1:18" x14ac:dyDescent="0.45">
      <c r="A544" t="s">
        <v>629</v>
      </c>
      <c r="B544" s="3">
        <v>45053</v>
      </c>
      <c r="C544">
        <v>31</v>
      </c>
      <c r="D544" t="s">
        <v>27</v>
      </c>
      <c r="E544">
        <v>75.900000000000006</v>
      </c>
      <c r="F544">
        <v>164.4</v>
      </c>
      <c r="G544" s="4">
        <f t="shared" si="16"/>
        <v>28.082654021702453</v>
      </c>
      <c r="H544" t="s">
        <v>21</v>
      </c>
      <c r="I544" t="s">
        <v>123</v>
      </c>
      <c r="J544">
        <v>108</v>
      </c>
      <c r="K544">
        <v>73</v>
      </c>
      <c r="L544">
        <v>102</v>
      </c>
      <c r="M544">
        <v>1</v>
      </c>
      <c r="N544" s="5">
        <v>5110.72</v>
      </c>
      <c r="O544" t="s">
        <v>31</v>
      </c>
      <c r="P544" t="str">
        <f t="shared" si="17"/>
        <v>Hospital Provincial da Matola</v>
      </c>
      <c r="Q544" t="s">
        <v>24</v>
      </c>
      <c r="R544">
        <v>4</v>
      </c>
    </row>
    <row r="545" spans="1:18" x14ac:dyDescent="0.45">
      <c r="A545" t="s">
        <v>630</v>
      </c>
      <c r="B545" s="3">
        <v>45294</v>
      </c>
      <c r="C545">
        <v>66</v>
      </c>
      <c r="D545" t="s">
        <v>20</v>
      </c>
      <c r="E545">
        <v>67</v>
      </c>
      <c r="F545">
        <v>171.7</v>
      </c>
      <c r="G545" s="4">
        <f t="shared" si="16"/>
        <v>22.726586612547997</v>
      </c>
      <c r="H545" t="s">
        <v>21</v>
      </c>
      <c r="I545" t="s">
        <v>123</v>
      </c>
      <c r="J545">
        <v>125</v>
      </c>
      <c r="K545">
        <v>64</v>
      </c>
      <c r="L545">
        <v>99</v>
      </c>
      <c r="M545">
        <v>2</v>
      </c>
      <c r="N545" s="5">
        <v>6284.1</v>
      </c>
      <c r="O545" t="s">
        <v>43</v>
      </c>
      <c r="P545" t="str">
        <f t="shared" si="17"/>
        <v>Hospital Central da Beira</v>
      </c>
      <c r="Q545" t="s">
        <v>24</v>
      </c>
      <c r="R545">
        <v>5</v>
      </c>
    </row>
    <row r="546" spans="1:18" x14ac:dyDescent="0.45">
      <c r="A546" t="s">
        <v>631</v>
      </c>
      <c r="B546" s="3">
        <v>45057</v>
      </c>
      <c r="C546">
        <v>47</v>
      </c>
      <c r="D546" t="s">
        <v>27</v>
      </c>
      <c r="E546">
        <v>63.7</v>
      </c>
      <c r="F546">
        <v>142.6</v>
      </c>
      <c r="G546" s="4">
        <f t="shared" si="16"/>
        <v>31.325670920138723</v>
      </c>
      <c r="H546" t="s">
        <v>46</v>
      </c>
      <c r="I546" t="s">
        <v>66</v>
      </c>
      <c r="J546">
        <v>125</v>
      </c>
      <c r="K546">
        <v>72</v>
      </c>
      <c r="L546">
        <v>97</v>
      </c>
      <c r="M546">
        <v>1</v>
      </c>
      <c r="N546" s="5">
        <v>3407.75</v>
      </c>
      <c r="O546" t="s">
        <v>51</v>
      </c>
      <c r="P546" t="str">
        <f t="shared" si="17"/>
        <v>Hospital Central de Quelimane</v>
      </c>
      <c r="Q546" t="s">
        <v>24</v>
      </c>
      <c r="R546">
        <v>4</v>
      </c>
    </row>
    <row r="547" spans="1:18" x14ac:dyDescent="0.45">
      <c r="A547" t="s">
        <v>632</v>
      </c>
      <c r="B547" s="3">
        <v>45277</v>
      </c>
      <c r="C547">
        <v>43</v>
      </c>
      <c r="D547" t="s">
        <v>27</v>
      </c>
      <c r="E547">
        <v>68</v>
      </c>
      <c r="F547">
        <v>156.19999999999999</v>
      </c>
      <c r="G547" s="4">
        <f t="shared" si="16"/>
        <v>27.870634352032351</v>
      </c>
      <c r="H547" t="s">
        <v>34</v>
      </c>
      <c r="I547" t="s">
        <v>128</v>
      </c>
      <c r="J547">
        <v>96</v>
      </c>
      <c r="K547">
        <v>60</v>
      </c>
      <c r="L547">
        <v>90</v>
      </c>
      <c r="M547">
        <v>2</v>
      </c>
      <c r="N547" s="5">
        <v>5924.4</v>
      </c>
      <c r="O547" t="s">
        <v>63</v>
      </c>
      <c r="P547" t="str">
        <f t="shared" si="17"/>
        <v>Hospital Central de Nampula</v>
      </c>
      <c r="Q547" t="s">
        <v>76</v>
      </c>
      <c r="R547">
        <v>3</v>
      </c>
    </row>
    <row r="548" spans="1:18" x14ac:dyDescent="0.45">
      <c r="A548" t="s">
        <v>633</v>
      </c>
      <c r="B548" s="3">
        <v>45366</v>
      </c>
      <c r="C548">
        <v>47</v>
      </c>
      <c r="D548" t="s">
        <v>20</v>
      </c>
      <c r="E548">
        <v>50.5</v>
      </c>
      <c r="F548">
        <v>159.80000000000001</v>
      </c>
      <c r="G548" s="4">
        <f t="shared" si="16"/>
        <v>19.775971528866648</v>
      </c>
      <c r="H548" t="s">
        <v>41</v>
      </c>
      <c r="I548" t="s">
        <v>217</v>
      </c>
      <c r="J548">
        <v>134</v>
      </c>
      <c r="K548">
        <v>100</v>
      </c>
      <c r="L548">
        <v>69</v>
      </c>
      <c r="M548">
        <v>1</v>
      </c>
      <c r="N548" s="5">
        <v>1923.22</v>
      </c>
      <c r="O548" t="s">
        <v>36</v>
      </c>
      <c r="P548" t="str">
        <f t="shared" si="17"/>
        <v>Hospital Provincial de Lichinga</v>
      </c>
      <c r="Q548" t="s">
        <v>202</v>
      </c>
      <c r="R548">
        <v>4</v>
      </c>
    </row>
    <row r="549" spans="1:18" x14ac:dyDescent="0.45">
      <c r="A549" t="s">
        <v>634</v>
      </c>
      <c r="B549" s="3">
        <v>45558</v>
      </c>
      <c r="C549">
        <v>24</v>
      </c>
      <c r="D549" t="s">
        <v>20</v>
      </c>
      <c r="E549">
        <v>74</v>
      </c>
      <c r="F549">
        <v>155</v>
      </c>
      <c r="G549" s="4">
        <f t="shared" si="16"/>
        <v>30.801248699271589</v>
      </c>
      <c r="H549" t="s">
        <v>21</v>
      </c>
      <c r="I549" t="s">
        <v>22</v>
      </c>
      <c r="J549">
        <v>124</v>
      </c>
      <c r="K549">
        <v>60</v>
      </c>
      <c r="L549">
        <v>91</v>
      </c>
      <c r="M549">
        <v>1</v>
      </c>
      <c r="N549" s="5">
        <v>2642.4</v>
      </c>
      <c r="O549" t="s">
        <v>23</v>
      </c>
      <c r="P549" t="str">
        <f t="shared" si="17"/>
        <v>Hospital Central de Maputo</v>
      </c>
      <c r="Q549" t="s">
        <v>24</v>
      </c>
      <c r="R549">
        <v>5</v>
      </c>
    </row>
    <row r="550" spans="1:18" x14ac:dyDescent="0.45">
      <c r="A550" t="s">
        <v>635</v>
      </c>
      <c r="B550" s="3">
        <v>45655</v>
      </c>
      <c r="C550">
        <v>1</v>
      </c>
      <c r="D550" t="s">
        <v>27</v>
      </c>
      <c r="E550">
        <v>27.2</v>
      </c>
      <c r="F550">
        <v>129.9</v>
      </c>
      <c r="G550" s="4">
        <f t="shared" si="16"/>
        <v>16.119464193751213</v>
      </c>
      <c r="H550" t="s">
        <v>28</v>
      </c>
      <c r="I550" t="s">
        <v>75</v>
      </c>
      <c r="J550">
        <v>101</v>
      </c>
      <c r="K550">
        <v>62</v>
      </c>
      <c r="L550">
        <v>73</v>
      </c>
      <c r="M550">
        <v>2</v>
      </c>
      <c r="N550" s="5">
        <v>6891.38</v>
      </c>
      <c r="O550" t="s">
        <v>31</v>
      </c>
      <c r="P550" t="str">
        <f t="shared" si="17"/>
        <v>Hospital Provincial da Matola</v>
      </c>
      <c r="Q550" t="s">
        <v>202</v>
      </c>
      <c r="R550">
        <v>4</v>
      </c>
    </row>
    <row r="551" spans="1:18" x14ac:dyDescent="0.45">
      <c r="A551" t="s">
        <v>636</v>
      </c>
      <c r="B551" s="3">
        <v>45238</v>
      </c>
      <c r="C551">
        <v>59</v>
      </c>
      <c r="D551" t="s">
        <v>20</v>
      </c>
      <c r="E551">
        <v>54.4</v>
      </c>
      <c r="F551">
        <v>164</v>
      </c>
      <c r="G551" s="4">
        <f t="shared" si="16"/>
        <v>20.226055919095778</v>
      </c>
      <c r="H551" t="s">
        <v>21</v>
      </c>
      <c r="I551" t="s">
        <v>70</v>
      </c>
      <c r="J551">
        <v>140</v>
      </c>
      <c r="K551">
        <v>80</v>
      </c>
      <c r="L551">
        <v>125</v>
      </c>
      <c r="M551">
        <v>3</v>
      </c>
      <c r="N551" s="5">
        <v>7879.76</v>
      </c>
      <c r="O551" t="s">
        <v>31</v>
      </c>
      <c r="P551" t="str">
        <f t="shared" si="17"/>
        <v>Hospital Provincial da Matola</v>
      </c>
      <c r="Q551" t="s">
        <v>24</v>
      </c>
      <c r="R551">
        <v>5</v>
      </c>
    </row>
    <row r="552" spans="1:18" x14ac:dyDescent="0.45">
      <c r="A552" t="s">
        <v>637</v>
      </c>
      <c r="B552" s="3">
        <v>45060</v>
      </c>
      <c r="C552">
        <v>72</v>
      </c>
      <c r="D552" t="s">
        <v>20</v>
      </c>
      <c r="E552">
        <v>68.599999999999994</v>
      </c>
      <c r="F552">
        <v>159.30000000000001</v>
      </c>
      <c r="G552" s="4">
        <f t="shared" si="16"/>
        <v>27.03289540830902</v>
      </c>
      <c r="H552" t="s">
        <v>21</v>
      </c>
      <c r="I552" t="s">
        <v>70</v>
      </c>
      <c r="J552">
        <v>141</v>
      </c>
      <c r="K552">
        <v>99</v>
      </c>
      <c r="L552">
        <v>128</v>
      </c>
      <c r="M552">
        <v>3</v>
      </c>
      <c r="N552" s="5">
        <v>6850.2</v>
      </c>
      <c r="O552" t="s">
        <v>51</v>
      </c>
      <c r="P552" t="str">
        <f t="shared" si="17"/>
        <v>Hospital Central de Quelimane</v>
      </c>
      <c r="Q552" t="s">
        <v>24</v>
      </c>
      <c r="R552">
        <v>3</v>
      </c>
    </row>
    <row r="553" spans="1:18" x14ac:dyDescent="0.45">
      <c r="A553" t="s">
        <v>638</v>
      </c>
      <c r="B553" s="3">
        <v>45057</v>
      </c>
      <c r="C553">
        <v>29</v>
      </c>
      <c r="D553" t="s">
        <v>20</v>
      </c>
      <c r="E553">
        <v>74.3</v>
      </c>
      <c r="F553">
        <v>144.6</v>
      </c>
      <c r="G553" s="4">
        <f t="shared" si="16"/>
        <v>35.534665189801977</v>
      </c>
      <c r="H553" t="s">
        <v>91</v>
      </c>
      <c r="I553" t="s">
        <v>116</v>
      </c>
      <c r="J553">
        <v>103</v>
      </c>
      <c r="K553">
        <v>61</v>
      </c>
      <c r="L553">
        <v>65</v>
      </c>
      <c r="M553">
        <v>1</v>
      </c>
      <c r="N553" s="5">
        <v>5350.84</v>
      </c>
      <c r="O553" t="s">
        <v>52</v>
      </c>
      <c r="P553" t="str">
        <f t="shared" si="17"/>
        <v>Hospital Provincial de Chimoio</v>
      </c>
      <c r="Q553" t="s">
        <v>24</v>
      </c>
      <c r="R553">
        <v>4</v>
      </c>
    </row>
    <row r="554" spans="1:18" x14ac:dyDescent="0.45">
      <c r="A554" t="s">
        <v>639</v>
      </c>
      <c r="B554" s="3">
        <v>45640</v>
      </c>
      <c r="C554">
        <v>1</v>
      </c>
      <c r="D554" t="s">
        <v>20</v>
      </c>
      <c r="E554">
        <v>14</v>
      </c>
      <c r="F554">
        <v>103.6</v>
      </c>
      <c r="G554" s="4">
        <f t="shared" si="16"/>
        <v>13.043931962850882</v>
      </c>
      <c r="H554" t="s">
        <v>28</v>
      </c>
      <c r="I554" t="s">
        <v>75</v>
      </c>
      <c r="J554">
        <v>90</v>
      </c>
      <c r="K554">
        <v>55</v>
      </c>
      <c r="L554">
        <v>96</v>
      </c>
      <c r="M554">
        <v>5</v>
      </c>
      <c r="N554" s="5">
        <v>11933.78</v>
      </c>
      <c r="O554" t="s">
        <v>43</v>
      </c>
      <c r="P554" t="str">
        <f t="shared" si="17"/>
        <v>Hospital Central da Beira</v>
      </c>
      <c r="Q554" t="s">
        <v>24</v>
      </c>
      <c r="R554">
        <v>3</v>
      </c>
    </row>
    <row r="555" spans="1:18" x14ac:dyDescent="0.45">
      <c r="A555" t="s">
        <v>640</v>
      </c>
      <c r="B555" s="3">
        <v>45090</v>
      </c>
      <c r="C555">
        <v>36</v>
      </c>
      <c r="D555" t="s">
        <v>20</v>
      </c>
      <c r="E555">
        <v>49.4</v>
      </c>
      <c r="F555">
        <v>174.5</v>
      </c>
      <c r="G555" s="4">
        <f t="shared" si="16"/>
        <v>16.223183717703463</v>
      </c>
      <c r="H555" t="s">
        <v>55</v>
      </c>
      <c r="I555" t="s">
        <v>80</v>
      </c>
      <c r="J555">
        <v>96</v>
      </c>
      <c r="K555">
        <v>62</v>
      </c>
      <c r="L555">
        <v>74</v>
      </c>
      <c r="M555">
        <v>1</v>
      </c>
      <c r="N555" s="5">
        <v>6340.65</v>
      </c>
      <c r="O555" t="s">
        <v>31</v>
      </c>
      <c r="P555" t="str">
        <f t="shared" si="17"/>
        <v>Hospital Provincial da Matola</v>
      </c>
      <c r="Q555" t="s">
        <v>24</v>
      </c>
      <c r="R555">
        <v>3</v>
      </c>
    </row>
    <row r="556" spans="1:18" x14ac:dyDescent="0.45">
      <c r="A556" t="s">
        <v>641</v>
      </c>
      <c r="B556" s="3">
        <v>44967</v>
      </c>
      <c r="C556">
        <v>35</v>
      </c>
      <c r="D556" t="s">
        <v>20</v>
      </c>
      <c r="E556">
        <v>59.8</v>
      </c>
      <c r="F556">
        <v>169.4</v>
      </c>
      <c r="G556" s="4">
        <f t="shared" si="16"/>
        <v>20.8388799136894</v>
      </c>
      <c r="H556" t="s">
        <v>34</v>
      </c>
      <c r="I556" t="s">
        <v>126</v>
      </c>
      <c r="J556">
        <v>118</v>
      </c>
      <c r="K556">
        <v>64</v>
      </c>
      <c r="L556">
        <v>89</v>
      </c>
      <c r="M556">
        <v>3</v>
      </c>
      <c r="N556" s="5">
        <v>4386.79</v>
      </c>
      <c r="O556" t="s">
        <v>57</v>
      </c>
      <c r="P556" t="str">
        <f t="shared" si="17"/>
        <v>Hospital Provincial de Tete</v>
      </c>
      <c r="Q556" t="s">
        <v>24</v>
      </c>
      <c r="R556">
        <v>2</v>
      </c>
    </row>
    <row r="557" spans="1:18" x14ac:dyDescent="0.45">
      <c r="A557" t="s">
        <v>642</v>
      </c>
      <c r="B557" s="3">
        <v>45649</v>
      </c>
      <c r="C557">
        <v>69</v>
      </c>
      <c r="D557" t="s">
        <v>27</v>
      </c>
      <c r="E557">
        <v>58</v>
      </c>
      <c r="F557">
        <v>169</v>
      </c>
      <c r="G557" s="4">
        <f t="shared" si="16"/>
        <v>20.307412205454995</v>
      </c>
      <c r="H557" t="s">
        <v>46</v>
      </c>
      <c r="I557" t="s">
        <v>66</v>
      </c>
      <c r="J557">
        <v>144</v>
      </c>
      <c r="K557">
        <v>88</v>
      </c>
      <c r="L557">
        <v>109</v>
      </c>
      <c r="M557">
        <v>5</v>
      </c>
      <c r="N557" s="5">
        <v>9109.99</v>
      </c>
      <c r="O557" t="s">
        <v>23</v>
      </c>
      <c r="P557" t="str">
        <f t="shared" si="17"/>
        <v>Hospital Central de Maputo</v>
      </c>
      <c r="Q557" t="s">
        <v>24</v>
      </c>
      <c r="R557">
        <v>5</v>
      </c>
    </row>
    <row r="558" spans="1:18" x14ac:dyDescent="0.45">
      <c r="A558" t="s">
        <v>643</v>
      </c>
      <c r="B558" s="3">
        <v>45524</v>
      </c>
      <c r="C558">
        <v>39</v>
      </c>
      <c r="D558" t="s">
        <v>20</v>
      </c>
      <c r="E558">
        <v>60.9</v>
      </c>
      <c r="F558">
        <v>169.5</v>
      </c>
      <c r="G558" s="4">
        <f t="shared" si="16"/>
        <v>21.197170229984074</v>
      </c>
      <c r="H558" t="s">
        <v>46</v>
      </c>
      <c r="I558" t="s">
        <v>66</v>
      </c>
      <c r="J558">
        <v>104</v>
      </c>
      <c r="K558">
        <v>58</v>
      </c>
      <c r="L558">
        <v>95</v>
      </c>
      <c r="M558">
        <v>1</v>
      </c>
      <c r="N558" s="5">
        <v>3921.39</v>
      </c>
      <c r="O558" t="s">
        <v>63</v>
      </c>
      <c r="P558" t="str">
        <f t="shared" si="17"/>
        <v>Hospital Central de Nampula</v>
      </c>
      <c r="Q558" t="s">
        <v>24</v>
      </c>
      <c r="R558">
        <v>4</v>
      </c>
    </row>
    <row r="559" spans="1:18" x14ac:dyDescent="0.45">
      <c r="A559" t="s">
        <v>644</v>
      </c>
      <c r="B559" s="3">
        <v>45371</v>
      </c>
      <c r="C559">
        <v>15</v>
      </c>
      <c r="D559" t="s">
        <v>27</v>
      </c>
      <c r="E559">
        <v>50.7</v>
      </c>
      <c r="F559">
        <v>172.4</v>
      </c>
      <c r="G559" s="4">
        <f t="shared" si="16"/>
        <v>17.058209204300152</v>
      </c>
      <c r="H559" t="s">
        <v>28</v>
      </c>
      <c r="I559" t="s">
        <v>29</v>
      </c>
      <c r="J559">
        <v>106</v>
      </c>
      <c r="K559">
        <v>67</v>
      </c>
      <c r="L559">
        <v>77</v>
      </c>
      <c r="M559">
        <v>3</v>
      </c>
      <c r="N559" s="5">
        <v>10368.41</v>
      </c>
      <c r="O559" t="s">
        <v>38</v>
      </c>
      <c r="P559" t="str">
        <f t="shared" si="17"/>
        <v>Hospital Provincial de Xai-Xai</v>
      </c>
      <c r="Q559" t="s">
        <v>24</v>
      </c>
      <c r="R559">
        <v>5</v>
      </c>
    </row>
    <row r="560" spans="1:18" x14ac:dyDescent="0.45">
      <c r="A560" t="s">
        <v>645</v>
      </c>
      <c r="B560" s="3">
        <v>45330</v>
      </c>
      <c r="C560">
        <v>49</v>
      </c>
      <c r="D560" t="s">
        <v>20</v>
      </c>
      <c r="E560">
        <v>75.900000000000006</v>
      </c>
      <c r="F560">
        <v>166</v>
      </c>
      <c r="G560" s="4">
        <f t="shared" si="16"/>
        <v>27.543910582087388</v>
      </c>
      <c r="H560" t="s">
        <v>21</v>
      </c>
      <c r="I560" t="s">
        <v>89</v>
      </c>
      <c r="J560">
        <v>153</v>
      </c>
      <c r="K560">
        <v>93</v>
      </c>
      <c r="L560">
        <v>65</v>
      </c>
      <c r="M560">
        <v>3</v>
      </c>
      <c r="N560" s="5">
        <v>5971.56</v>
      </c>
      <c r="O560" t="s">
        <v>63</v>
      </c>
      <c r="P560" t="str">
        <f t="shared" si="17"/>
        <v>Hospital Central de Nampula</v>
      </c>
      <c r="Q560" t="s">
        <v>24</v>
      </c>
      <c r="R560">
        <v>4</v>
      </c>
    </row>
    <row r="561" spans="1:18" x14ac:dyDescent="0.45">
      <c r="A561" t="s">
        <v>646</v>
      </c>
      <c r="B561" s="3">
        <v>44971</v>
      </c>
      <c r="C561">
        <v>2</v>
      </c>
      <c r="D561" t="s">
        <v>20</v>
      </c>
      <c r="E561">
        <v>35</v>
      </c>
      <c r="F561">
        <v>126.1</v>
      </c>
      <c r="G561" s="4">
        <f t="shared" si="16"/>
        <v>22.010903572746983</v>
      </c>
      <c r="H561" t="s">
        <v>28</v>
      </c>
      <c r="I561" t="s">
        <v>50</v>
      </c>
      <c r="J561">
        <v>131</v>
      </c>
      <c r="K561">
        <v>82</v>
      </c>
      <c r="L561">
        <v>94</v>
      </c>
      <c r="M561">
        <v>5</v>
      </c>
      <c r="N561" s="5">
        <v>11184.6</v>
      </c>
      <c r="O561" t="s">
        <v>31</v>
      </c>
      <c r="P561" t="str">
        <f t="shared" si="17"/>
        <v>Hospital Provincial da Matola</v>
      </c>
      <c r="Q561" t="s">
        <v>24</v>
      </c>
      <c r="R561">
        <v>4</v>
      </c>
    </row>
    <row r="562" spans="1:18" x14ac:dyDescent="0.45">
      <c r="A562" t="s">
        <v>647</v>
      </c>
      <c r="B562" s="3">
        <v>45381</v>
      </c>
      <c r="C562">
        <v>35</v>
      </c>
      <c r="D562" t="s">
        <v>20</v>
      </c>
      <c r="E562">
        <v>67.400000000000006</v>
      </c>
      <c r="F562">
        <v>164.7</v>
      </c>
      <c r="G562" s="4">
        <f t="shared" si="16"/>
        <v>24.846927810089852</v>
      </c>
      <c r="H562" t="s">
        <v>91</v>
      </c>
      <c r="I562" t="s">
        <v>131</v>
      </c>
      <c r="J562">
        <v>107</v>
      </c>
      <c r="K562">
        <v>58</v>
      </c>
      <c r="L562">
        <v>113</v>
      </c>
      <c r="M562">
        <v>1</v>
      </c>
      <c r="N562" s="5">
        <v>3768.28</v>
      </c>
      <c r="O562" t="s">
        <v>63</v>
      </c>
      <c r="P562" t="str">
        <f t="shared" si="17"/>
        <v>Hospital Central de Nampula</v>
      </c>
      <c r="Q562" t="s">
        <v>24</v>
      </c>
      <c r="R562">
        <v>5</v>
      </c>
    </row>
    <row r="563" spans="1:18" x14ac:dyDescent="0.45">
      <c r="A563" t="s">
        <v>648</v>
      </c>
      <c r="B563" s="3">
        <v>44951</v>
      </c>
      <c r="C563">
        <v>60</v>
      </c>
      <c r="D563" t="s">
        <v>20</v>
      </c>
      <c r="E563">
        <v>71.900000000000006</v>
      </c>
      <c r="F563">
        <v>158.5</v>
      </c>
      <c r="G563" s="4">
        <f t="shared" si="16"/>
        <v>28.620047965448958</v>
      </c>
      <c r="H563" t="s">
        <v>41</v>
      </c>
      <c r="I563" t="s">
        <v>113</v>
      </c>
      <c r="J563">
        <v>165</v>
      </c>
      <c r="K563">
        <v>97</v>
      </c>
      <c r="L563">
        <v>80</v>
      </c>
      <c r="M563">
        <v>9</v>
      </c>
      <c r="N563" s="5">
        <v>21952.07</v>
      </c>
      <c r="O563" t="s">
        <v>31</v>
      </c>
      <c r="P563" t="str">
        <f t="shared" si="17"/>
        <v>Hospital Provincial da Matola</v>
      </c>
      <c r="Q563" t="s">
        <v>202</v>
      </c>
      <c r="R563">
        <v>3</v>
      </c>
    </row>
    <row r="564" spans="1:18" x14ac:dyDescent="0.45">
      <c r="A564" t="s">
        <v>649</v>
      </c>
      <c r="B564" s="3">
        <v>45005</v>
      </c>
      <c r="C564">
        <v>18</v>
      </c>
      <c r="D564" t="s">
        <v>27</v>
      </c>
      <c r="E564">
        <v>54</v>
      </c>
      <c r="F564">
        <v>172.7</v>
      </c>
      <c r="G564" s="4">
        <f t="shared" si="16"/>
        <v>18.105440047691072</v>
      </c>
      <c r="H564" t="s">
        <v>21</v>
      </c>
      <c r="I564" t="s">
        <v>22</v>
      </c>
      <c r="J564">
        <v>138</v>
      </c>
      <c r="K564">
        <v>92</v>
      </c>
      <c r="L564">
        <v>65</v>
      </c>
      <c r="M564">
        <v>1</v>
      </c>
      <c r="N564" s="5">
        <v>3969.58</v>
      </c>
      <c r="O564" t="s">
        <v>63</v>
      </c>
      <c r="P564" t="str">
        <f t="shared" si="17"/>
        <v>Hospital Central de Nampula</v>
      </c>
      <c r="Q564" t="s">
        <v>24</v>
      </c>
      <c r="R564">
        <v>3</v>
      </c>
    </row>
    <row r="565" spans="1:18" x14ac:dyDescent="0.45">
      <c r="A565" t="s">
        <v>650</v>
      </c>
      <c r="B565" s="3">
        <v>45438</v>
      </c>
      <c r="C565">
        <v>22</v>
      </c>
      <c r="D565" t="s">
        <v>27</v>
      </c>
      <c r="E565">
        <v>40.799999999999997</v>
      </c>
      <c r="F565">
        <v>167.3</v>
      </c>
      <c r="G565" s="4">
        <f t="shared" si="16"/>
        <v>14.577004275563972</v>
      </c>
      <c r="H565" t="s">
        <v>34</v>
      </c>
      <c r="I565" t="s">
        <v>128</v>
      </c>
      <c r="J565">
        <v>129</v>
      </c>
      <c r="K565">
        <v>78</v>
      </c>
      <c r="L565">
        <v>94</v>
      </c>
      <c r="M565">
        <v>2</v>
      </c>
      <c r="N565" s="5">
        <v>9092.17</v>
      </c>
      <c r="O565" t="s">
        <v>63</v>
      </c>
      <c r="P565" t="str">
        <f t="shared" si="17"/>
        <v>Hospital Central de Nampula</v>
      </c>
      <c r="Q565" t="s">
        <v>24</v>
      </c>
      <c r="R565">
        <v>4</v>
      </c>
    </row>
    <row r="566" spans="1:18" x14ac:dyDescent="0.45">
      <c r="A566" t="s">
        <v>651</v>
      </c>
      <c r="B566" s="3">
        <v>45212</v>
      </c>
      <c r="C566">
        <v>45</v>
      </c>
      <c r="D566" t="s">
        <v>20</v>
      </c>
      <c r="E566">
        <v>74.8</v>
      </c>
      <c r="F566">
        <v>166.7</v>
      </c>
      <c r="G566" s="4">
        <f t="shared" si="16"/>
        <v>26.917232030498525</v>
      </c>
      <c r="H566" t="s">
        <v>21</v>
      </c>
      <c r="I566" t="s">
        <v>70</v>
      </c>
      <c r="J566">
        <v>112</v>
      </c>
      <c r="K566">
        <v>75</v>
      </c>
      <c r="L566">
        <v>94</v>
      </c>
      <c r="M566">
        <v>6</v>
      </c>
      <c r="N566" s="5">
        <v>13088.46</v>
      </c>
      <c r="O566" t="s">
        <v>51</v>
      </c>
      <c r="P566" t="str">
        <f t="shared" si="17"/>
        <v>Hospital Central de Quelimane</v>
      </c>
      <c r="Q566" t="s">
        <v>24</v>
      </c>
      <c r="R566">
        <v>4</v>
      </c>
    </row>
    <row r="567" spans="1:18" x14ac:dyDescent="0.45">
      <c r="A567" t="s">
        <v>652</v>
      </c>
      <c r="B567" s="3">
        <v>45436</v>
      </c>
      <c r="C567">
        <v>21</v>
      </c>
      <c r="D567" t="s">
        <v>27</v>
      </c>
      <c r="E567">
        <v>74.5</v>
      </c>
      <c r="F567">
        <v>154.1</v>
      </c>
      <c r="G567" s="4">
        <f t="shared" si="16"/>
        <v>31.372634892855086</v>
      </c>
      <c r="H567" t="s">
        <v>55</v>
      </c>
      <c r="I567" t="s">
        <v>197</v>
      </c>
      <c r="J567">
        <v>94</v>
      </c>
      <c r="K567">
        <v>61</v>
      </c>
      <c r="L567">
        <v>77</v>
      </c>
      <c r="M567">
        <v>4</v>
      </c>
      <c r="N567" s="5">
        <v>7872.66</v>
      </c>
      <c r="O567" t="s">
        <v>36</v>
      </c>
      <c r="P567" t="str">
        <f t="shared" si="17"/>
        <v>Hospital Provincial de Lichinga</v>
      </c>
      <c r="Q567" t="s">
        <v>24</v>
      </c>
      <c r="R567">
        <v>4</v>
      </c>
    </row>
    <row r="568" spans="1:18" x14ac:dyDescent="0.45">
      <c r="A568" t="s">
        <v>653</v>
      </c>
      <c r="B568" s="3">
        <v>45063</v>
      </c>
      <c r="C568">
        <v>18</v>
      </c>
      <c r="D568" t="s">
        <v>20</v>
      </c>
      <c r="E568">
        <v>81.900000000000006</v>
      </c>
      <c r="F568">
        <v>151.80000000000001</v>
      </c>
      <c r="G568" s="4">
        <f t="shared" si="16"/>
        <v>35.541876923557624</v>
      </c>
      <c r="H568" t="s">
        <v>21</v>
      </c>
      <c r="I568" t="s">
        <v>123</v>
      </c>
      <c r="J568">
        <v>108</v>
      </c>
      <c r="K568">
        <v>63</v>
      </c>
      <c r="L568">
        <v>65</v>
      </c>
      <c r="M568">
        <v>3</v>
      </c>
      <c r="N568" s="5">
        <v>11031.6</v>
      </c>
      <c r="O568" t="s">
        <v>31</v>
      </c>
      <c r="P568" t="str">
        <f t="shared" si="17"/>
        <v>Hospital Provincial da Matola</v>
      </c>
      <c r="Q568" t="s">
        <v>24</v>
      </c>
      <c r="R568">
        <v>5</v>
      </c>
    </row>
    <row r="569" spans="1:18" x14ac:dyDescent="0.45">
      <c r="A569" t="s">
        <v>654</v>
      </c>
      <c r="B569" s="3">
        <v>45047</v>
      </c>
      <c r="C569">
        <v>45</v>
      </c>
      <c r="D569" t="s">
        <v>20</v>
      </c>
      <c r="E569">
        <v>52.1</v>
      </c>
      <c r="F569">
        <v>159.9</v>
      </c>
      <c r="G569" s="4">
        <f t="shared" si="16"/>
        <v>20.377025822502414</v>
      </c>
      <c r="H569" t="s">
        <v>91</v>
      </c>
      <c r="I569" t="s">
        <v>92</v>
      </c>
      <c r="J569">
        <v>123</v>
      </c>
      <c r="K569">
        <v>77</v>
      </c>
      <c r="L569">
        <v>72</v>
      </c>
      <c r="M569">
        <v>3</v>
      </c>
      <c r="N569" s="5">
        <v>4846.74</v>
      </c>
      <c r="O569" t="s">
        <v>23</v>
      </c>
      <c r="P569" t="str">
        <f t="shared" si="17"/>
        <v>Hospital Central de Maputo</v>
      </c>
      <c r="Q569" t="s">
        <v>24</v>
      </c>
      <c r="R569">
        <v>1</v>
      </c>
    </row>
    <row r="570" spans="1:18" x14ac:dyDescent="0.45">
      <c r="A570" t="s">
        <v>655</v>
      </c>
      <c r="B570" s="3">
        <v>45353</v>
      </c>
      <c r="C570">
        <v>28</v>
      </c>
      <c r="D570" t="s">
        <v>20</v>
      </c>
      <c r="E570">
        <v>44.1</v>
      </c>
      <c r="F570">
        <v>162.4</v>
      </c>
      <c r="G570" s="4">
        <f t="shared" si="16"/>
        <v>16.72116527942925</v>
      </c>
      <c r="H570" t="s">
        <v>46</v>
      </c>
      <c r="I570" t="s">
        <v>66</v>
      </c>
      <c r="J570">
        <v>107</v>
      </c>
      <c r="K570">
        <v>61</v>
      </c>
      <c r="L570">
        <v>74</v>
      </c>
      <c r="M570">
        <v>6</v>
      </c>
      <c r="N570" s="5">
        <v>16483.39</v>
      </c>
      <c r="O570" t="s">
        <v>31</v>
      </c>
      <c r="P570" t="str">
        <f t="shared" si="17"/>
        <v>Hospital Provincial da Matola</v>
      </c>
      <c r="Q570" t="s">
        <v>37</v>
      </c>
      <c r="R570">
        <v>2</v>
      </c>
    </row>
    <row r="571" spans="1:18" x14ac:dyDescent="0.45">
      <c r="A571" t="s">
        <v>656</v>
      </c>
      <c r="B571" s="3">
        <v>45104</v>
      </c>
      <c r="C571">
        <v>46</v>
      </c>
      <c r="D571" t="s">
        <v>20</v>
      </c>
      <c r="E571">
        <v>41.8</v>
      </c>
      <c r="F571">
        <v>155.19999999999999</v>
      </c>
      <c r="G571" s="4">
        <f t="shared" si="16"/>
        <v>17.353730470825809</v>
      </c>
      <c r="H571" t="s">
        <v>21</v>
      </c>
      <c r="I571" t="s">
        <v>89</v>
      </c>
      <c r="J571">
        <v>122</v>
      </c>
      <c r="K571">
        <v>71</v>
      </c>
      <c r="L571">
        <v>109</v>
      </c>
      <c r="M571">
        <v>4</v>
      </c>
      <c r="N571" s="5">
        <v>8583.85</v>
      </c>
      <c r="O571" t="s">
        <v>36</v>
      </c>
      <c r="P571" t="str">
        <f t="shared" si="17"/>
        <v>Hospital Provincial de Lichinga</v>
      </c>
      <c r="Q571" t="s">
        <v>24</v>
      </c>
      <c r="R571">
        <v>5</v>
      </c>
    </row>
    <row r="572" spans="1:18" x14ac:dyDescent="0.45">
      <c r="A572" t="s">
        <v>657</v>
      </c>
      <c r="B572" s="3">
        <v>45055</v>
      </c>
      <c r="C572">
        <v>28</v>
      </c>
      <c r="D572" t="s">
        <v>20</v>
      </c>
      <c r="E572">
        <v>71.5</v>
      </c>
      <c r="F572">
        <v>164.1</v>
      </c>
      <c r="G572" s="4">
        <f t="shared" si="16"/>
        <v>26.551488907233555</v>
      </c>
      <c r="H572" t="s">
        <v>91</v>
      </c>
      <c r="I572" t="s">
        <v>92</v>
      </c>
      <c r="J572">
        <v>110</v>
      </c>
      <c r="K572">
        <v>60</v>
      </c>
      <c r="L572">
        <v>106</v>
      </c>
      <c r="M572">
        <v>2</v>
      </c>
      <c r="N572" s="5">
        <v>5830.53</v>
      </c>
      <c r="O572" t="s">
        <v>63</v>
      </c>
      <c r="P572" t="str">
        <f t="shared" si="17"/>
        <v>Hospital Central de Nampula</v>
      </c>
      <c r="Q572" t="s">
        <v>24</v>
      </c>
      <c r="R572">
        <v>5</v>
      </c>
    </row>
    <row r="573" spans="1:18" x14ac:dyDescent="0.45">
      <c r="A573" t="s">
        <v>658</v>
      </c>
      <c r="B573" s="3">
        <v>45589</v>
      </c>
      <c r="C573">
        <v>3</v>
      </c>
      <c r="D573" t="s">
        <v>27</v>
      </c>
      <c r="E573">
        <v>36</v>
      </c>
      <c r="F573">
        <v>67.900000000000006</v>
      </c>
      <c r="G573" s="4">
        <f t="shared" si="16"/>
        <v>78.084161712298894</v>
      </c>
      <c r="H573" t="s">
        <v>28</v>
      </c>
      <c r="I573" t="s">
        <v>29</v>
      </c>
      <c r="J573">
        <v>108</v>
      </c>
      <c r="K573">
        <v>67</v>
      </c>
      <c r="L573">
        <v>82</v>
      </c>
      <c r="M573">
        <v>1</v>
      </c>
      <c r="N573" s="5">
        <v>2948.1</v>
      </c>
      <c r="O573" t="s">
        <v>57</v>
      </c>
      <c r="P573" t="str">
        <f t="shared" si="17"/>
        <v>Hospital Provincial de Tete</v>
      </c>
      <c r="Q573" t="s">
        <v>24</v>
      </c>
      <c r="R573">
        <v>4</v>
      </c>
    </row>
    <row r="574" spans="1:18" x14ac:dyDescent="0.45">
      <c r="A574" t="s">
        <v>659</v>
      </c>
      <c r="B574" s="3">
        <v>45491</v>
      </c>
      <c r="C574">
        <v>51</v>
      </c>
      <c r="D574" t="s">
        <v>20</v>
      </c>
      <c r="E574">
        <v>44.5</v>
      </c>
      <c r="F574">
        <v>164.4</v>
      </c>
      <c r="G574" s="4">
        <f t="shared" si="16"/>
        <v>16.464797153699063</v>
      </c>
      <c r="H574" t="s">
        <v>46</v>
      </c>
      <c r="I574" t="s">
        <v>47</v>
      </c>
      <c r="J574">
        <v>112</v>
      </c>
      <c r="K574">
        <v>74</v>
      </c>
      <c r="L574">
        <v>95</v>
      </c>
      <c r="M574">
        <v>11</v>
      </c>
      <c r="N574" s="5">
        <v>11820.12</v>
      </c>
      <c r="O574" t="s">
        <v>38</v>
      </c>
      <c r="P574" t="str">
        <f t="shared" si="17"/>
        <v>Hospital Provincial de Xai-Xai</v>
      </c>
      <c r="Q574" t="s">
        <v>24</v>
      </c>
      <c r="R574">
        <v>3</v>
      </c>
    </row>
    <row r="575" spans="1:18" x14ac:dyDescent="0.45">
      <c r="A575" t="s">
        <v>660</v>
      </c>
      <c r="B575" s="3">
        <v>45327</v>
      </c>
      <c r="C575">
        <v>35</v>
      </c>
      <c r="D575" t="s">
        <v>27</v>
      </c>
      <c r="E575">
        <v>75.3</v>
      </c>
      <c r="F575">
        <v>159.1</v>
      </c>
      <c r="G575" s="4">
        <f t="shared" si="16"/>
        <v>29.747783829610384</v>
      </c>
      <c r="H575" t="s">
        <v>34</v>
      </c>
      <c r="I575" t="s">
        <v>35</v>
      </c>
      <c r="J575">
        <v>105</v>
      </c>
      <c r="K575">
        <v>55</v>
      </c>
      <c r="L575">
        <v>89</v>
      </c>
      <c r="M575">
        <v>1</v>
      </c>
      <c r="N575" s="5">
        <v>4809.51</v>
      </c>
      <c r="O575" t="s">
        <v>63</v>
      </c>
      <c r="P575" t="str">
        <f t="shared" si="17"/>
        <v>Hospital Central de Nampula</v>
      </c>
      <c r="Q575" t="s">
        <v>24</v>
      </c>
      <c r="R575">
        <v>3</v>
      </c>
    </row>
    <row r="576" spans="1:18" x14ac:dyDescent="0.45">
      <c r="A576" t="s">
        <v>661</v>
      </c>
      <c r="B576" s="3">
        <v>45625</v>
      </c>
      <c r="C576">
        <v>18</v>
      </c>
      <c r="D576" t="s">
        <v>27</v>
      </c>
      <c r="E576">
        <v>80.3</v>
      </c>
      <c r="F576">
        <v>147.19999999999999</v>
      </c>
      <c r="G576" s="4">
        <f t="shared" si="16"/>
        <v>37.059531545368621</v>
      </c>
      <c r="H576" t="s">
        <v>21</v>
      </c>
      <c r="I576" t="s">
        <v>70</v>
      </c>
      <c r="J576">
        <v>92</v>
      </c>
      <c r="K576">
        <v>55</v>
      </c>
      <c r="L576">
        <v>72</v>
      </c>
      <c r="M576">
        <v>1</v>
      </c>
      <c r="N576" s="5">
        <v>5316.97</v>
      </c>
      <c r="O576" t="s">
        <v>51</v>
      </c>
      <c r="P576" t="str">
        <f t="shared" si="17"/>
        <v>Hospital Central de Quelimane</v>
      </c>
      <c r="Q576" t="s">
        <v>24</v>
      </c>
      <c r="R576">
        <v>5</v>
      </c>
    </row>
    <row r="577" spans="1:18" x14ac:dyDescent="0.45">
      <c r="A577" t="s">
        <v>662</v>
      </c>
      <c r="B577" s="3">
        <v>45276</v>
      </c>
      <c r="C577">
        <v>29</v>
      </c>
      <c r="D577" t="s">
        <v>27</v>
      </c>
      <c r="E577">
        <v>82.4</v>
      </c>
      <c r="F577">
        <v>170.2</v>
      </c>
      <c r="G577" s="4">
        <f t="shared" si="16"/>
        <v>28.445141611237766</v>
      </c>
      <c r="H577" t="s">
        <v>46</v>
      </c>
      <c r="I577" t="s">
        <v>66</v>
      </c>
      <c r="J577">
        <v>116</v>
      </c>
      <c r="K577">
        <v>70</v>
      </c>
      <c r="L577">
        <v>76</v>
      </c>
      <c r="M577">
        <v>23</v>
      </c>
      <c r="N577" s="5">
        <v>56373.64</v>
      </c>
      <c r="O577" t="s">
        <v>57</v>
      </c>
      <c r="P577" t="str">
        <f t="shared" si="17"/>
        <v>Hospital Provincial de Tete</v>
      </c>
      <c r="Q577" t="s">
        <v>76</v>
      </c>
      <c r="R577">
        <v>2</v>
      </c>
    </row>
    <row r="578" spans="1:18" x14ac:dyDescent="0.45">
      <c r="A578" t="s">
        <v>663</v>
      </c>
      <c r="B578" s="3">
        <v>44942</v>
      </c>
      <c r="C578">
        <v>25</v>
      </c>
      <c r="D578" t="s">
        <v>20</v>
      </c>
      <c r="E578">
        <v>50.8</v>
      </c>
      <c r="F578">
        <v>179.8</v>
      </c>
      <c r="G578" s="4">
        <f t="shared" ref="G578:G641" si="18">E578/((F578/100)^2)</f>
        <v>15.713912751902061</v>
      </c>
      <c r="H578" t="s">
        <v>46</v>
      </c>
      <c r="I578" t="s">
        <v>47</v>
      </c>
      <c r="J578">
        <v>110</v>
      </c>
      <c r="K578">
        <v>70</v>
      </c>
      <c r="L578">
        <v>101</v>
      </c>
      <c r="M578">
        <v>1</v>
      </c>
      <c r="N578" s="5">
        <v>3921.42</v>
      </c>
      <c r="O578" t="s">
        <v>23</v>
      </c>
      <c r="P578" t="str">
        <f t="shared" ref="P578:P641" si="19">INDEX($U$2:$U$12,MATCH(O578,$T$2:$T$12,0))</f>
        <v>Hospital Central de Maputo</v>
      </c>
      <c r="Q578" t="s">
        <v>24</v>
      </c>
      <c r="R578">
        <v>4</v>
      </c>
    </row>
    <row r="579" spans="1:18" x14ac:dyDescent="0.45">
      <c r="A579" t="s">
        <v>664</v>
      </c>
      <c r="B579" s="3">
        <v>45411</v>
      </c>
      <c r="C579">
        <v>18</v>
      </c>
      <c r="D579" t="s">
        <v>27</v>
      </c>
      <c r="E579">
        <v>77.7</v>
      </c>
      <c r="F579">
        <v>170.3</v>
      </c>
      <c r="G579" s="4">
        <f t="shared" si="18"/>
        <v>26.791172636178977</v>
      </c>
      <c r="H579" t="s">
        <v>46</v>
      </c>
      <c r="I579" t="s">
        <v>47</v>
      </c>
      <c r="J579">
        <v>104</v>
      </c>
      <c r="K579">
        <v>61</v>
      </c>
      <c r="L579">
        <v>98</v>
      </c>
      <c r="M579">
        <v>2</v>
      </c>
      <c r="N579" s="5">
        <v>7360.36</v>
      </c>
      <c r="O579" t="s">
        <v>43</v>
      </c>
      <c r="P579" t="str">
        <f t="shared" si="19"/>
        <v>Hospital Central da Beira</v>
      </c>
      <c r="Q579" t="s">
        <v>24</v>
      </c>
      <c r="R579">
        <v>4</v>
      </c>
    </row>
    <row r="580" spans="1:18" x14ac:dyDescent="0.45">
      <c r="A580" t="s">
        <v>665</v>
      </c>
      <c r="B580" s="3">
        <v>45248</v>
      </c>
      <c r="C580">
        <v>22</v>
      </c>
      <c r="D580" t="s">
        <v>27</v>
      </c>
      <c r="E580">
        <v>51.5</v>
      </c>
      <c r="F580">
        <v>168.1</v>
      </c>
      <c r="G580" s="4">
        <f t="shared" si="18"/>
        <v>18.225178987182566</v>
      </c>
      <c r="H580" t="s">
        <v>21</v>
      </c>
      <c r="I580" t="s">
        <v>22</v>
      </c>
      <c r="J580">
        <v>121</v>
      </c>
      <c r="K580">
        <v>74</v>
      </c>
      <c r="L580">
        <v>74</v>
      </c>
      <c r="M580">
        <v>6</v>
      </c>
      <c r="N580" s="5">
        <v>8754.1</v>
      </c>
      <c r="O580" t="s">
        <v>38</v>
      </c>
      <c r="P580" t="str">
        <f t="shared" si="19"/>
        <v>Hospital Provincial de Xai-Xai</v>
      </c>
      <c r="Q580" t="s">
        <v>24</v>
      </c>
      <c r="R580">
        <v>4</v>
      </c>
    </row>
    <row r="581" spans="1:18" x14ac:dyDescent="0.45">
      <c r="A581" t="s">
        <v>666</v>
      </c>
      <c r="B581" s="3">
        <v>45001</v>
      </c>
      <c r="C581">
        <v>30</v>
      </c>
      <c r="D581" t="s">
        <v>20</v>
      </c>
      <c r="E581">
        <v>49.4</v>
      </c>
      <c r="F581">
        <v>163.9</v>
      </c>
      <c r="G581" s="4">
        <f t="shared" si="18"/>
        <v>18.389462763385314</v>
      </c>
      <c r="H581" t="s">
        <v>91</v>
      </c>
      <c r="I581" t="s">
        <v>131</v>
      </c>
      <c r="J581">
        <v>114</v>
      </c>
      <c r="K581">
        <v>71</v>
      </c>
      <c r="L581">
        <v>81</v>
      </c>
      <c r="M581">
        <v>1</v>
      </c>
      <c r="N581" s="5">
        <v>4723.8</v>
      </c>
      <c r="O581" t="s">
        <v>43</v>
      </c>
      <c r="P581" t="str">
        <f t="shared" si="19"/>
        <v>Hospital Central da Beira</v>
      </c>
      <c r="Q581" t="s">
        <v>24</v>
      </c>
      <c r="R581">
        <v>4</v>
      </c>
    </row>
    <row r="582" spans="1:18" x14ac:dyDescent="0.45">
      <c r="A582" t="s">
        <v>667</v>
      </c>
      <c r="B582" s="3">
        <v>44993</v>
      </c>
      <c r="C582">
        <v>28</v>
      </c>
      <c r="D582" t="s">
        <v>27</v>
      </c>
      <c r="E582">
        <v>73.900000000000006</v>
      </c>
      <c r="F582">
        <v>159.19999999999999</v>
      </c>
      <c r="G582" s="4">
        <f t="shared" si="18"/>
        <v>29.158038938410655</v>
      </c>
      <c r="H582" t="s">
        <v>91</v>
      </c>
      <c r="I582" t="s">
        <v>131</v>
      </c>
      <c r="J582">
        <v>119</v>
      </c>
      <c r="K582">
        <v>59</v>
      </c>
      <c r="L582">
        <v>76</v>
      </c>
      <c r="M582">
        <v>1</v>
      </c>
      <c r="N582" s="5">
        <v>3752.42</v>
      </c>
      <c r="O582" t="s">
        <v>36</v>
      </c>
      <c r="P582" t="str">
        <f t="shared" si="19"/>
        <v>Hospital Provincial de Lichinga</v>
      </c>
      <c r="Q582" t="s">
        <v>24</v>
      </c>
      <c r="R582">
        <v>2</v>
      </c>
    </row>
    <row r="583" spans="1:18" x14ac:dyDescent="0.45">
      <c r="A583" t="s">
        <v>668</v>
      </c>
      <c r="B583" s="3">
        <v>45297</v>
      </c>
      <c r="C583">
        <v>40</v>
      </c>
      <c r="D583" t="s">
        <v>27</v>
      </c>
      <c r="E583">
        <v>81.400000000000006</v>
      </c>
      <c r="F583">
        <v>169</v>
      </c>
      <c r="G583" s="4">
        <f t="shared" si="18"/>
        <v>28.500402646966148</v>
      </c>
      <c r="H583" t="s">
        <v>34</v>
      </c>
      <c r="I583" t="s">
        <v>128</v>
      </c>
      <c r="J583">
        <v>110</v>
      </c>
      <c r="K583">
        <v>67</v>
      </c>
      <c r="L583">
        <v>115</v>
      </c>
      <c r="M583">
        <v>1</v>
      </c>
      <c r="N583" s="5">
        <v>2915.01</v>
      </c>
      <c r="O583" t="s">
        <v>38</v>
      </c>
      <c r="P583" t="str">
        <f t="shared" si="19"/>
        <v>Hospital Provincial de Xai-Xai</v>
      </c>
      <c r="Q583" t="s">
        <v>24</v>
      </c>
      <c r="R583">
        <v>5</v>
      </c>
    </row>
    <row r="584" spans="1:18" x14ac:dyDescent="0.45">
      <c r="A584" t="s">
        <v>669</v>
      </c>
      <c r="B584" s="3">
        <v>45464</v>
      </c>
      <c r="C584">
        <v>36</v>
      </c>
      <c r="D584" t="s">
        <v>20</v>
      </c>
      <c r="E584">
        <v>74</v>
      </c>
      <c r="F584">
        <v>179.9</v>
      </c>
      <c r="G584" s="4">
        <f t="shared" si="18"/>
        <v>22.864904565287176</v>
      </c>
      <c r="H584" t="s">
        <v>46</v>
      </c>
      <c r="I584" t="s">
        <v>47</v>
      </c>
      <c r="J584">
        <v>106</v>
      </c>
      <c r="K584">
        <v>70</v>
      </c>
      <c r="L584">
        <v>86</v>
      </c>
      <c r="M584">
        <v>1</v>
      </c>
      <c r="N584" s="5">
        <v>5159.5</v>
      </c>
      <c r="O584" t="s">
        <v>52</v>
      </c>
      <c r="P584" t="str">
        <f t="shared" si="19"/>
        <v>Hospital Provincial de Chimoio</v>
      </c>
      <c r="Q584" t="s">
        <v>37</v>
      </c>
      <c r="R584">
        <v>5</v>
      </c>
    </row>
    <row r="585" spans="1:18" x14ac:dyDescent="0.45">
      <c r="A585" t="s">
        <v>670</v>
      </c>
      <c r="B585" s="3">
        <v>45374</v>
      </c>
      <c r="C585">
        <v>18</v>
      </c>
      <c r="D585" t="s">
        <v>27</v>
      </c>
      <c r="E585">
        <v>79.7</v>
      </c>
      <c r="F585">
        <v>155.80000000000001</v>
      </c>
      <c r="G585" s="4">
        <f t="shared" si="18"/>
        <v>32.833971336808155</v>
      </c>
      <c r="H585" t="s">
        <v>34</v>
      </c>
      <c r="I585" t="s">
        <v>138</v>
      </c>
      <c r="J585">
        <v>115</v>
      </c>
      <c r="K585">
        <v>67</v>
      </c>
      <c r="L585">
        <v>77</v>
      </c>
      <c r="M585">
        <v>17</v>
      </c>
      <c r="N585" s="5">
        <v>54916.480000000003</v>
      </c>
      <c r="O585" t="s">
        <v>51</v>
      </c>
      <c r="P585" t="str">
        <f t="shared" si="19"/>
        <v>Hospital Central de Quelimane</v>
      </c>
      <c r="Q585" t="s">
        <v>24</v>
      </c>
      <c r="R585">
        <v>3</v>
      </c>
    </row>
    <row r="586" spans="1:18" x14ac:dyDescent="0.45">
      <c r="A586" t="s">
        <v>671</v>
      </c>
      <c r="B586" s="3">
        <v>45396</v>
      </c>
      <c r="C586">
        <v>25</v>
      </c>
      <c r="D586" t="s">
        <v>20</v>
      </c>
      <c r="E586">
        <v>62.5</v>
      </c>
      <c r="F586">
        <v>177.6</v>
      </c>
      <c r="G586" s="4">
        <f t="shared" si="18"/>
        <v>19.815000811622433</v>
      </c>
      <c r="H586" t="s">
        <v>41</v>
      </c>
      <c r="I586" t="s">
        <v>161</v>
      </c>
      <c r="J586">
        <v>129</v>
      </c>
      <c r="K586">
        <v>94</v>
      </c>
      <c r="L586">
        <v>85</v>
      </c>
      <c r="M586">
        <v>7</v>
      </c>
      <c r="N586" s="5">
        <v>19092.759999999998</v>
      </c>
      <c r="O586" t="s">
        <v>57</v>
      </c>
      <c r="P586" t="str">
        <f t="shared" si="19"/>
        <v>Hospital Provincial de Tete</v>
      </c>
      <c r="Q586" t="s">
        <v>24</v>
      </c>
      <c r="R586">
        <v>5</v>
      </c>
    </row>
    <row r="587" spans="1:18" x14ac:dyDescent="0.45">
      <c r="A587" t="s">
        <v>672</v>
      </c>
      <c r="B587" s="3">
        <v>45119</v>
      </c>
      <c r="C587">
        <v>41</v>
      </c>
      <c r="D587" t="s">
        <v>27</v>
      </c>
      <c r="E587">
        <v>46.9</v>
      </c>
      <c r="F587">
        <v>150.9</v>
      </c>
      <c r="G587" s="4">
        <f t="shared" si="18"/>
        <v>20.59654443561735</v>
      </c>
      <c r="H587" t="s">
        <v>46</v>
      </c>
      <c r="I587" t="s">
        <v>94</v>
      </c>
      <c r="J587">
        <v>140</v>
      </c>
      <c r="K587">
        <v>94</v>
      </c>
      <c r="L587">
        <v>85</v>
      </c>
      <c r="M587">
        <v>1</v>
      </c>
      <c r="N587" s="5">
        <v>3421.89</v>
      </c>
      <c r="O587" t="s">
        <v>63</v>
      </c>
      <c r="P587" t="str">
        <f t="shared" si="19"/>
        <v>Hospital Central de Nampula</v>
      </c>
      <c r="Q587" t="s">
        <v>24</v>
      </c>
      <c r="R587">
        <v>5</v>
      </c>
    </row>
    <row r="588" spans="1:18" x14ac:dyDescent="0.45">
      <c r="A588" t="s">
        <v>673</v>
      </c>
      <c r="B588" s="3">
        <v>45643</v>
      </c>
      <c r="C588">
        <v>21</v>
      </c>
      <c r="D588" t="s">
        <v>27</v>
      </c>
      <c r="E588">
        <v>70</v>
      </c>
      <c r="F588">
        <v>165.5</v>
      </c>
      <c r="G588" s="4">
        <f t="shared" si="18"/>
        <v>25.556539279488138</v>
      </c>
      <c r="H588" t="s">
        <v>46</v>
      </c>
      <c r="I588" t="s">
        <v>108</v>
      </c>
      <c r="J588">
        <v>97</v>
      </c>
      <c r="K588">
        <v>65</v>
      </c>
      <c r="L588">
        <v>85</v>
      </c>
      <c r="M588">
        <v>10</v>
      </c>
      <c r="N588" s="5">
        <v>21309.62</v>
      </c>
      <c r="O588" t="s">
        <v>52</v>
      </c>
      <c r="P588" t="str">
        <f t="shared" si="19"/>
        <v>Hospital Provincial de Chimoio</v>
      </c>
      <c r="Q588" t="s">
        <v>24</v>
      </c>
      <c r="R588">
        <v>4</v>
      </c>
    </row>
    <row r="589" spans="1:18" x14ac:dyDescent="0.45">
      <c r="A589" t="s">
        <v>674</v>
      </c>
      <c r="B589" s="3">
        <v>45218</v>
      </c>
      <c r="C589">
        <v>26</v>
      </c>
      <c r="D589" t="s">
        <v>27</v>
      </c>
      <c r="E589">
        <v>85.7</v>
      </c>
      <c r="F589">
        <v>142.69999999999999</v>
      </c>
      <c r="G589" s="4">
        <f t="shared" si="18"/>
        <v>42.085537258468563</v>
      </c>
      <c r="H589" t="s">
        <v>46</v>
      </c>
      <c r="I589" t="s">
        <v>47</v>
      </c>
      <c r="J589">
        <v>109</v>
      </c>
      <c r="K589">
        <v>74</v>
      </c>
      <c r="L589">
        <v>104</v>
      </c>
      <c r="M589">
        <v>3</v>
      </c>
      <c r="N589" s="5">
        <v>7676.68</v>
      </c>
      <c r="O589" t="s">
        <v>51</v>
      </c>
      <c r="P589" t="str">
        <f t="shared" si="19"/>
        <v>Hospital Central de Quelimane</v>
      </c>
      <c r="Q589" t="s">
        <v>202</v>
      </c>
      <c r="R589">
        <v>2</v>
      </c>
    </row>
    <row r="590" spans="1:18" x14ac:dyDescent="0.45">
      <c r="A590" t="s">
        <v>675</v>
      </c>
      <c r="B590" s="3">
        <v>45381</v>
      </c>
      <c r="C590">
        <v>44</v>
      </c>
      <c r="D590" t="s">
        <v>20</v>
      </c>
      <c r="E590">
        <v>58.4</v>
      </c>
      <c r="F590">
        <v>158</v>
      </c>
      <c r="G590" s="4">
        <f t="shared" si="18"/>
        <v>23.393686909149171</v>
      </c>
      <c r="H590" t="s">
        <v>46</v>
      </c>
      <c r="I590" t="s">
        <v>66</v>
      </c>
      <c r="J590">
        <v>115</v>
      </c>
      <c r="K590">
        <v>80</v>
      </c>
      <c r="L590">
        <v>65</v>
      </c>
      <c r="M590">
        <v>1</v>
      </c>
      <c r="N590" s="5">
        <v>4763.8599999999997</v>
      </c>
      <c r="O590" t="s">
        <v>63</v>
      </c>
      <c r="P590" t="str">
        <f t="shared" si="19"/>
        <v>Hospital Central de Nampula</v>
      </c>
      <c r="Q590" t="s">
        <v>24</v>
      </c>
      <c r="R590">
        <v>5</v>
      </c>
    </row>
    <row r="591" spans="1:18" x14ac:dyDescent="0.45">
      <c r="A591" t="s">
        <v>676</v>
      </c>
      <c r="B591" s="3">
        <v>45332</v>
      </c>
      <c r="C591">
        <v>42</v>
      </c>
      <c r="D591" t="s">
        <v>20</v>
      </c>
      <c r="E591">
        <v>70.8</v>
      </c>
      <c r="F591">
        <v>152.5</v>
      </c>
      <c r="G591" s="4">
        <f t="shared" si="18"/>
        <v>30.443429185702772</v>
      </c>
      <c r="H591" t="s">
        <v>34</v>
      </c>
      <c r="I591" t="s">
        <v>126</v>
      </c>
      <c r="J591">
        <v>110</v>
      </c>
      <c r="K591">
        <v>73</v>
      </c>
      <c r="L591">
        <v>65</v>
      </c>
      <c r="M591">
        <v>2</v>
      </c>
      <c r="N591" s="5">
        <v>6301.73</v>
      </c>
      <c r="O591" t="s">
        <v>43</v>
      </c>
      <c r="P591" t="str">
        <f t="shared" si="19"/>
        <v>Hospital Central da Beira</v>
      </c>
      <c r="Q591" t="s">
        <v>24</v>
      </c>
      <c r="R591">
        <v>3</v>
      </c>
    </row>
    <row r="592" spans="1:18" x14ac:dyDescent="0.45">
      <c r="A592" t="s">
        <v>677</v>
      </c>
      <c r="B592" s="3">
        <v>45310</v>
      </c>
      <c r="C592">
        <v>89</v>
      </c>
      <c r="D592" t="s">
        <v>27</v>
      </c>
      <c r="E592">
        <v>52.8</v>
      </c>
      <c r="F592">
        <v>155.80000000000001</v>
      </c>
      <c r="G592" s="4">
        <f t="shared" si="18"/>
        <v>21.751991048726104</v>
      </c>
      <c r="H592" t="s">
        <v>91</v>
      </c>
      <c r="I592" t="s">
        <v>110</v>
      </c>
      <c r="J592">
        <v>131</v>
      </c>
      <c r="K592">
        <v>76</v>
      </c>
      <c r="L592">
        <v>82</v>
      </c>
      <c r="M592">
        <v>1</v>
      </c>
      <c r="N592" s="5">
        <v>4973.68</v>
      </c>
      <c r="O592" t="s">
        <v>67</v>
      </c>
      <c r="P592" t="str">
        <f t="shared" si="19"/>
        <v>Hospital Provincial de Pemba</v>
      </c>
      <c r="Q592" t="s">
        <v>24</v>
      </c>
      <c r="R592">
        <v>5</v>
      </c>
    </row>
    <row r="593" spans="1:18" x14ac:dyDescent="0.45">
      <c r="A593" t="s">
        <v>678</v>
      </c>
      <c r="B593" s="3">
        <v>45339</v>
      </c>
      <c r="C593">
        <v>30</v>
      </c>
      <c r="D593" t="s">
        <v>27</v>
      </c>
      <c r="E593">
        <v>47.1</v>
      </c>
      <c r="F593">
        <v>164.6</v>
      </c>
      <c r="G593" s="4">
        <f t="shared" si="18"/>
        <v>17.384461613189455</v>
      </c>
      <c r="H593" t="s">
        <v>41</v>
      </c>
      <c r="I593" t="s">
        <v>113</v>
      </c>
      <c r="J593">
        <v>136</v>
      </c>
      <c r="K593">
        <v>86</v>
      </c>
      <c r="L593">
        <v>65</v>
      </c>
      <c r="M593">
        <v>3</v>
      </c>
      <c r="N593" s="5">
        <v>6809.59</v>
      </c>
      <c r="O593" t="s">
        <v>67</v>
      </c>
      <c r="P593" t="str">
        <f t="shared" si="19"/>
        <v>Hospital Provincial de Pemba</v>
      </c>
      <c r="Q593" t="s">
        <v>24</v>
      </c>
      <c r="R593">
        <v>2</v>
      </c>
    </row>
    <row r="594" spans="1:18" x14ac:dyDescent="0.45">
      <c r="A594" t="s">
        <v>679</v>
      </c>
      <c r="B594" s="3">
        <v>45374</v>
      </c>
      <c r="C594">
        <v>34</v>
      </c>
      <c r="D594" t="s">
        <v>20</v>
      </c>
      <c r="E594">
        <v>61.6</v>
      </c>
      <c r="F594">
        <v>161.80000000000001</v>
      </c>
      <c r="G594" s="4">
        <f t="shared" si="18"/>
        <v>23.530094838505622</v>
      </c>
      <c r="H594" t="s">
        <v>46</v>
      </c>
      <c r="I594" t="s">
        <v>47</v>
      </c>
      <c r="J594">
        <v>112</v>
      </c>
      <c r="K594">
        <v>67</v>
      </c>
      <c r="L594">
        <v>65</v>
      </c>
      <c r="M594">
        <v>4</v>
      </c>
      <c r="N594" s="5">
        <v>11932.15</v>
      </c>
      <c r="O594" t="s">
        <v>51</v>
      </c>
      <c r="P594" t="str">
        <f t="shared" si="19"/>
        <v>Hospital Central de Quelimane</v>
      </c>
      <c r="Q594" t="s">
        <v>24</v>
      </c>
      <c r="R594">
        <v>3</v>
      </c>
    </row>
    <row r="595" spans="1:18" x14ac:dyDescent="0.45">
      <c r="A595" t="s">
        <v>680</v>
      </c>
      <c r="B595" s="3">
        <v>45178</v>
      </c>
      <c r="C595">
        <v>30</v>
      </c>
      <c r="D595" t="s">
        <v>27</v>
      </c>
      <c r="E595">
        <v>52.1</v>
      </c>
      <c r="F595">
        <v>156.9</v>
      </c>
      <c r="G595" s="4">
        <f t="shared" si="18"/>
        <v>21.163711668192001</v>
      </c>
      <c r="H595" t="s">
        <v>46</v>
      </c>
      <c r="I595" t="s">
        <v>94</v>
      </c>
      <c r="J595">
        <v>99</v>
      </c>
      <c r="K595">
        <v>58</v>
      </c>
      <c r="L595">
        <v>84</v>
      </c>
      <c r="M595">
        <v>2</v>
      </c>
      <c r="N595" s="5">
        <v>5473.05</v>
      </c>
      <c r="O595" t="s">
        <v>38</v>
      </c>
      <c r="P595" t="str">
        <f t="shared" si="19"/>
        <v>Hospital Provincial de Xai-Xai</v>
      </c>
      <c r="Q595" t="s">
        <v>37</v>
      </c>
      <c r="R595">
        <v>2</v>
      </c>
    </row>
    <row r="596" spans="1:18" x14ac:dyDescent="0.45">
      <c r="A596" t="s">
        <v>681</v>
      </c>
      <c r="B596" s="3">
        <v>45433</v>
      </c>
      <c r="C596">
        <v>40</v>
      </c>
      <c r="D596" t="s">
        <v>27</v>
      </c>
      <c r="E596">
        <v>52.1</v>
      </c>
      <c r="F596">
        <v>167</v>
      </c>
      <c r="G596" s="4">
        <f t="shared" si="18"/>
        <v>18.681200473304887</v>
      </c>
      <c r="H596" t="s">
        <v>34</v>
      </c>
      <c r="I596" t="s">
        <v>128</v>
      </c>
      <c r="J596">
        <v>123</v>
      </c>
      <c r="K596">
        <v>73</v>
      </c>
      <c r="L596">
        <v>81</v>
      </c>
      <c r="M596">
        <v>2</v>
      </c>
      <c r="N596" s="5">
        <v>8456.69</v>
      </c>
      <c r="O596" t="s">
        <v>43</v>
      </c>
      <c r="P596" t="str">
        <f t="shared" si="19"/>
        <v>Hospital Central da Beira</v>
      </c>
      <c r="Q596" t="s">
        <v>24</v>
      </c>
      <c r="R596">
        <v>3</v>
      </c>
    </row>
    <row r="597" spans="1:18" x14ac:dyDescent="0.45">
      <c r="A597" t="s">
        <v>682</v>
      </c>
      <c r="B597" s="3">
        <v>45109</v>
      </c>
      <c r="C597">
        <v>29</v>
      </c>
      <c r="D597" t="s">
        <v>20</v>
      </c>
      <c r="E597">
        <v>74.7</v>
      </c>
      <c r="F597">
        <v>169.9</v>
      </c>
      <c r="G597" s="4">
        <f t="shared" si="18"/>
        <v>25.878186836351819</v>
      </c>
      <c r="H597" t="s">
        <v>21</v>
      </c>
      <c r="I597" t="s">
        <v>22</v>
      </c>
      <c r="J597">
        <v>153</v>
      </c>
      <c r="K597">
        <v>98</v>
      </c>
      <c r="L597">
        <v>83</v>
      </c>
      <c r="M597">
        <v>1</v>
      </c>
      <c r="N597" s="5">
        <v>3139.4</v>
      </c>
      <c r="O597" t="s">
        <v>31</v>
      </c>
      <c r="P597" t="str">
        <f t="shared" si="19"/>
        <v>Hospital Provincial da Matola</v>
      </c>
      <c r="Q597" t="s">
        <v>37</v>
      </c>
      <c r="R597">
        <v>3</v>
      </c>
    </row>
    <row r="598" spans="1:18" x14ac:dyDescent="0.45">
      <c r="A598" t="s">
        <v>683</v>
      </c>
      <c r="B598" s="3">
        <v>45149</v>
      </c>
      <c r="C598">
        <v>43</v>
      </c>
      <c r="D598" t="s">
        <v>20</v>
      </c>
      <c r="E598">
        <v>62.5</v>
      </c>
      <c r="F598">
        <v>177.3</v>
      </c>
      <c r="G598" s="4">
        <f t="shared" si="18"/>
        <v>19.882113382761855</v>
      </c>
      <c r="H598" t="s">
        <v>91</v>
      </c>
      <c r="I598" t="s">
        <v>110</v>
      </c>
      <c r="J598">
        <v>130</v>
      </c>
      <c r="K598">
        <v>85</v>
      </c>
      <c r="L598">
        <v>85</v>
      </c>
      <c r="M598">
        <v>3</v>
      </c>
      <c r="N598" s="5">
        <v>7640.92</v>
      </c>
      <c r="O598" t="s">
        <v>52</v>
      </c>
      <c r="P598" t="str">
        <f t="shared" si="19"/>
        <v>Hospital Provincial de Chimoio</v>
      </c>
      <c r="Q598" t="s">
        <v>24</v>
      </c>
      <c r="R598">
        <v>4</v>
      </c>
    </row>
    <row r="599" spans="1:18" x14ac:dyDescent="0.45">
      <c r="A599" t="s">
        <v>684</v>
      </c>
      <c r="B599" s="3">
        <v>45124</v>
      </c>
      <c r="C599">
        <v>8</v>
      </c>
      <c r="D599" t="s">
        <v>27</v>
      </c>
      <c r="E599">
        <v>34.700000000000003</v>
      </c>
      <c r="F599">
        <v>139</v>
      </c>
      <c r="G599" s="4">
        <f t="shared" si="18"/>
        <v>17.959732933078001</v>
      </c>
      <c r="H599" t="s">
        <v>28</v>
      </c>
      <c r="I599" t="s">
        <v>73</v>
      </c>
      <c r="J599">
        <v>97</v>
      </c>
      <c r="K599">
        <v>58</v>
      </c>
      <c r="L599">
        <v>94</v>
      </c>
      <c r="M599">
        <v>2</v>
      </c>
      <c r="N599" s="5">
        <v>6300.95</v>
      </c>
      <c r="O599" t="s">
        <v>38</v>
      </c>
      <c r="P599" t="str">
        <f t="shared" si="19"/>
        <v>Hospital Provincial de Xai-Xai</v>
      </c>
      <c r="Q599" t="s">
        <v>24</v>
      </c>
      <c r="R599">
        <v>3</v>
      </c>
    </row>
    <row r="600" spans="1:18" x14ac:dyDescent="0.45">
      <c r="A600" t="s">
        <v>685</v>
      </c>
      <c r="B600" s="3">
        <v>45319</v>
      </c>
      <c r="C600">
        <v>11</v>
      </c>
      <c r="D600" t="s">
        <v>27</v>
      </c>
      <c r="E600">
        <v>38.799999999999997</v>
      </c>
      <c r="F600">
        <v>141.9</v>
      </c>
      <c r="G600" s="4">
        <f t="shared" si="18"/>
        <v>19.269344211573422</v>
      </c>
      <c r="H600" t="s">
        <v>28</v>
      </c>
      <c r="I600" t="s">
        <v>50</v>
      </c>
      <c r="J600">
        <v>91</v>
      </c>
      <c r="K600">
        <v>55</v>
      </c>
      <c r="L600">
        <v>98</v>
      </c>
      <c r="M600">
        <v>12</v>
      </c>
      <c r="N600" s="5">
        <v>19654.96</v>
      </c>
      <c r="O600" t="s">
        <v>57</v>
      </c>
      <c r="P600" t="str">
        <f t="shared" si="19"/>
        <v>Hospital Provincial de Tete</v>
      </c>
      <c r="Q600" t="s">
        <v>37</v>
      </c>
      <c r="R600">
        <v>5</v>
      </c>
    </row>
    <row r="601" spans="1:18" x14ac:dyDescent="0.45">
      <c r="A601" t="s">
        <v>686</v>
      </c>
      <c r="B601" s="3">
        <v>45470</v>
      </c>
      <c r="C601">
        <v>61</v>
      </c>
      <c r="D601" t="s">
        <v>27</v>
      </c>
      <c r="E601">
        <v>66.900000000000006</v>
      </c>
      <c r="F601">
        <v>173.8</v>
      </c>
      <c r="G601" s="4">
        <f t="shared" si="18"/>
        <v>22.147595016162114</v>
      </c>
      <c r="H601" t="s">
        <v>91</v>
      </c>
      <c r="I601" t="s">
        <v>131</v>
      </c>
      <c r="J601">
        <v>113</v>
      </c>
      <c r="K601">
        <v>77</v>
      </c>
      <c r="L601">
        <v>103</v>
      </c>
      <c r="M601">
        <v>1</v>
      </c>
      <c r="N601" s="5">
        <v>3672.02</v>
      </c>
      <c r="O601" t="s">
        <v>30</v>
      </c>
      <c r="P601" t="str">
        <f t="shared" si="19"/>
        <v>Hospital Provincial de Inhambane</v>
      </c>
      <c r="Q601" t="s">
        <v>24</v>
      </c>
      <c r="R601">
        <v>4</v>
      </c>
    </row>
    <row r="602" spans="1:18" x14ac:dyDescent="0.45">
      <c r="A602" t="s">
        <v>687</v>
      </c>
      <c r="B602" s="3">
        <v>45403</v>
      </c>
      <c r="C602">
        <v>19</v>
      </c>
      <c r="D602" t="s">
        <v>27</v>
      </c>
      <c r="E602">
        <v>58.5</v>
      </c>
      <c r="F602">
        <v>159.6</v>
      </c>
      <c r="G602" s="4">
        <f t="shared" si="18"/>
        <v>22.966250211996158</v>
      </c>
      <c r="H602" t="s">
        <v>99</v>
      </c>
      <c r="I602" t="s">
        <v>103</v>
      </c>
      <c r="J602">
        <v>106</v>
      </c>
      <c r="K602">
        <v>64</v>
      </c>
      <c r="L602">
        <v>112</v>
      </c>
      <c r="M602">
        <v>8</v>
      </c>
      <c r="N602" s="5">
        <v>23854.35</v>
      </c>
      <c r="O602" t="s">
        <v>63</v>
      </c>
      <c r="P602" t="str">
        <f t="shared" si="19"/>
        <v>Hospital Central de Nampula</v>
      </c>
      <c r="Q602" t="s">
        <v>24</v>
      </c>
      <c r="R602">
        <v>5</v>
      </c>
    </row>
    <row r="603" spans="1:18" x14ac:dyDescent="0.45">
      <c r="A603" t="s">
        <v>688</v>
      </c>
      <c r="B603" s="3">
        <v>45252</v>
      </c>
      <c r="C603">
        <v>1</v>
      </c>
      <c r="D603" t="s">
        <v>27</v>
      </c>
      <c r="E603">
        <v>24.3</v>
      </c>
      <c r="F603">
        <v>45</v>
      </c>
      <c r="G603" s="4">
        <f t="shared" si="18"/>
        <v>120</v>
      </c>
      <c r="H603" t="s">
        <v>28</v>
      </c>
      <c r="I603" t="s">
        <v>73</v>
      </c>
      <c r="J603">
        <v>94</v>
      </c>
      <c r="K603">
        <v>59</v>
      </c>
      <c r="L603">
        <v>93</v>
      </c>
      <c r="M603">
        <v>1</v>
      </c>
      <c r="N603" s="5">
        <v>3709.37</v>
      </c>
      <c r="O603" t="s">
        <v>51</v>
      </c>
      <c r="P603" t="str">
        <f t="shared" si="19"/>
        <v>Hospital Central de Quelimane</v>
      </c>
      <c r="Q603" t="s">
        <v>37</v>
      </c>
      <c r="R603">
        <v>5</v>
      </c>
    </row>
    <row r="604" spans="1:18" x14ac:dyDescent="0.45">
      <c r="A604" t="s">
        <v>689</v>
      </c>
      <c r="B604" s="3">
        <v>45399</v>
      </c>
      <c r="C604">
        <v>12</v>
      </c>
      <c r="D604" t="s">
        <v>27</v>
      </c>
      <c r="E604">
        <v>85.3</v>
      </c>
      <c r="F604">
        <v>170</v>
      </c>
      <c r="G604" s="4">
        <f t="shared" si="18"/>
        <v>29.515570934256058</v>
      </c>
      <c r="H604" t="s">
        <v>28</v>
      </c>
      <c r="I604" t="s">
        <v>29</v>
      </c>
      <c r="J604">
        <v>88</v>
      </c>
      <c r="K604">
        <v>62</v>
      </c>
      <c r="L604">
        <v>93</v>
      </c>
      <c r="M604">
        <v>1</v>
      </c>
      <c r="N604" s="5">
        <v>4206.57</v>
      </c>
      <c r="O604" t="s">
        <v>51</v>
      </c>
      <c r="P604" t="str">
        <f t="shared" si="19"/>
        <v>Hospital Central de Quelimane</v>
      </c>
      <c r="Q604" t="s">
        <v>24</v>
      </c>
      <c r="R604">
        <v>5</v>
      </c>
    </row>
    <row r="605" spans="1:18" x14ac:dyDescent="0.45">
      <c r="A605" t="s">
        <v>690</v>
      </c>
      <c r="B605" s="3">
        <v>45336</v>
      </c>
      <c r="C605">
        <v>28</v>
      </c>
      <c r="D605" t="s">
        <v>20</v>
      </c>
      <c r="E605">
        <v>53.7</v>
      </c>
      <c r="F605">
        <v>174.4</v>
      </c>
      <c r="G605" s="4">
        <f t="shared" si="18"/>
        <v>17.655552983755577</v>
      </c>
      <c r="H605" t="s">
        <v>55</v>
      </c>
      <c r="I605" t="s">
        <v>56</v>
      </c>
      <c r="J605">
        <v>144</v>
      </c>
      <c r="K605">
        <v>80</v>
      </c>
      <c r="L605">
        <v>89</v>
      </c>
      <c r="M605">
        <v>9</v>
      </c>
      <c r="N605" s="5">
        <v>30558.55</v>
      </c>
      <c r="O605" t="s">
        <v>23</v>
      </c>
      <c r="P605" t="str">
        <f t="shared" si="19"/>
        <v>Hospital Central de Maputo</v>
      </c>
      <c r="Q605" t="s">
        <v>24</v>
      </c>
      <c r="R605">
        <v>5</v>
      </c>
    </row>
    <row r="606" spans="1:18" x14ac:dyDescent="0.45">
      <c r="A606" t="s">
        <v>691</v>
      </c>
      <c r="B606" s="3">
        <v>45069</v>
      </c>
      <c r="C606">
        <v>55</v>
      </c>
      <c r="D606" t="s">
        <v>20</v>
      </c>
      <c r="E606">
        <v>67.8</v>
      </c>
      <c r="F606">
        <v>151.9</v>
      </c>
      <c r="G606" s="4">
        <f t="shared" si="18"/>
        <v>29.384218594316188</v>
      </c>
      <c r="H606" t="s">
        <v>34</v>
      </c>
      <c r="I606" t="s">
        <v>138</v>
      </c>
      <c r="J606">
        <v>128</v>
      </c>
      <c r="K606">
        <v>84</v>
      </c>
      <c r="L606">
        <v>81</v>
      </c>
      <c r="M606">
        <v>9</v>
      </c>
      <c r="N606" s="5">
        <v>32079.74</v>
      </c>
      <c r="O606" t="s">
        <v>63</v>
      </c>
      <c r="P606" t="str">
        <f t="shared" si="19"/>
        <v>Hospital Central de Nampula</v>
      </c>
      <c r="Q606" t="s">
        <v>24</v>
      </c>
      <c r="R606">
        <v>5</v>
      </c>
    </row>
    <row r="607" spans="1:18" x14ac:dyDescent="0.45">
      <c r="A607" t="s">
        <v>692</v>
      </c>
      <c r="B607" s="3">
        <v>45040</v>
      </c>
      <c r="C607">
        <v>51</v>
      </c>
      <c r="D607" t="s">
        <v>20</v>
      </c>
      <c r="E607">
        <v>63.1</v>
      </c>
      <c r="F607">
        <v>166.7</v>
      </c>
      <c r="G607" s="4">
        <f t="shared" si="18"/>
        <v>22.706916325193273</v>
      </c>
      <c r="H607" t="s">
        <v>34</v>
      </c>
      <c r="I607" t="s">
        <v>35</v>
      </c>
      <c r="J607">
        <v>127</v>
      </c>
      <c r="K607">
        <v>83</v>
      </c>
      <c r="L607">
        <v>106</v>
      </c>
      <c r="M607">
        <v>1</v>
      </c>
      <c r="N607" s="5">
        <v>5816.77</v>
      </c>
      <c r="O607" t="s">
        <v>63</v>
      </c>
      <c r="P607" t="str">
        <f t="shared" si="19"/>
        <v>Hospital Central de Nampula</v>
      </c>
      <c r="Q607" t="s">
        <v>76</v>
      </c>
      <c r="R607">
        <v>4</v>
      </c>
    </row>
    <row r="608" spans="1:18" x14ac:dyDescent="0.45">
      <c r="A608" t="s">
        <v>693</v>
      </c>
      <c r="B608" s="3">
        <v>45384</v>
      </c>
      <c r="C608">
        <v>39</v>
      </c>
      <c r="D608" t="s">
        <v>20</v>
      </c>
      <c r="E608">
        <v>74.5</v>
      </c>
      <c r="F608">
        <v>173.2</v>
      </c>
      <c r="G608" s="4">
        <f t="shared" si="18"/>
        <v>24.834790307698054</v>
      </c>
      <c r="H608" t="s">
        <v>41</v>
      </c>
      <c r="I608" t="s">
        <v>161</v>
      </c>
      <c r="J608">
        <v>114</v>
      </c>
      <c r="K608">
        <v>70</v>
      </c>
      <c r="L608">
        <v>77</v>
      </c>
      <c r="M608">
        <v>1</v>
      </c>
      <c r="N608" s="5">
        <v>2438</v>
      </c>
      <c r="O608" t="s">
        <v>52</v>
      </c>
      <c r="P608" t="str">
        <f t="shared" si="19"/>
        <v>Hospital Provincial de Chimoio</v>
      </c>
      <c r="Q608" t="s">
        <v>37</v>
      </c>
      <c r="R608">
        <v>4</v>
      </c>
    </row>
    <row r="609" spans="1:18" x14ac:dyDescent="0.45">
      <c r="A609" t="s">
        <v>694</v>
      </c>
      <c r="B609" s="3">
        <v>45137</v>
      </c>
      <c r="C609">
        <v>26</v>
      </c>
      <c r="D609" t="s">
        <v>20</v>
      </c>
      <c r="E609">
        <v>52.4</v>
      </c>
      <c r="F609">
        <v>163.19999999999999</v>
      </c>
      <c r="G609" s="4">
        <f t="shared" si="18"/>
        <v>19.673923490965016</v>
      </c>
      <c r="H609" t="s">
        <v>21</v>
      </c>
      <c r="I609" t="s">
        <v>70</v>
      </c>
      <c r="J609">
        <v>112</v>
      </c>
      <c r="K609">
        <v>63</v>
      </c>
      <c r="L609">
        <v>99</v>
      </c>
      <c r="M609">
        <v>6</v>
      </c>
      <c r="N609" s="5">
        <v>18103.29</v>
      </c>
      <c r="O609" t="s">
        <v>30</v>
      </c>
      <c r="P609" t="str">
        <f t="shared" si="19"/>
        <v>Hospital Provincial de Inhambane</v>
      </c>
      <c r="Q609" t="s">
        <v>202</v>
      </c>
      <c r="R609">
        <v>5</v>
      </c>
    </row>
    <row r="610" spans="1:18" x14ac:dyDescent="0.45">
      <c r="A610" t="s">
        <v>695</v>
      </c>
      <c r="B610" s="3">
        <v>45598</v>
      </c>
      <c r="C610">
        <v>30</v>
      </c>
      <c r="D610" t="s">
        <v>27</v>
      </c>
      <c r="E610">
        <v>54.1</v>
      </c>
      <c r="F610">
        <v>165.9</v>
      </c>
      <c r="G610" s="4">
        <f t="shared" si="18"/>
        <v>19.656423163187188</v>
      </c>
      <c r="H610" t="s">
        <v>99</v>
      </c>
      <c r="I610" t="s">
        <v>151</v>
      </c>
      <c r="J610">
        <v>120</v>
      </c>
      <c r="K610">
        <v>71</v>
      </c>
      <c r="L610">
        <v>80</v>
      </c>
      <c r="M610">
        <v>2</v>
      </c>
      <c r="N610" s="5">
        <v>4027.33</v>
      </c>
      <c r="O610" t="s">
        <v>51</v>
      </c>
      <c r="P610" t="str">
        <f t="shared" si="19"/>
        <v>Hospital Central de Quelimane</v>
      </c>
      <c r="Q610" t="s">
        <v>202</v>
      </c>
      <c r="R610">
        <v>4</v>
      </c>
    </row>
    <row r="611" spans="1:18" x14ac:dyDescent="0.45">
      <c r="A611" t="s">
        <v>696</v>
      </c>
      <c r="B611" s="3">
        <v>45031</v>
      </c>
      <c r="C611">
        <v>44</v>
      </c>
      <c r="D611" t="s">
        <v>20</v>
      </c>
      <c r="E611">
        <v>70.099999999999994</v>
      </c>
      <c r="F611">
        <v>165.7</v>
      </c>
      <c r="G611" s="4">
        <f t="shared" si="18"/>
        <v>25.531304256297876</v>
      </c>
      <c r="H611" t="s">
        <v>41</v>
      </c>
      <c r="I611" t="s">
        <v>217</v>
      </c>
      <c r="J611">
        <v>112</v>
      </c>
      <c r="K611">
        <v>78</v>
      </c>
      <c r="L611">
        <v>95</v>
      </c>
      <c r="M611">
        <v>2</v>
      </c>
      <c r="N611" s="5">
        <v>6495.14</v>
      </c>
      <c r="O611" t="s">
        <v>23</v>
      </c>
      <c r="P611" t="str">
        <f t="shared" si="19"/>
        <v>Hospital Central de Maputo</v>
      </c>
      <c r="Q611" t="s">
        <v>24</v>
      </c>
      <c r="R611">
        <v>3</v>
      </c>
    </row>
    <row r="612" spans="1:18" x14ac:dyDescent="0.45">
      <c r="A612" t="s">
        <v>697</v>
      </c>
      <c r="B612" s="3">
        <v>45441</v>
      </c>
      <c r="C612">
        <v>50</v>
      </c>
      <c r="D612" t="s">
        <v>27</v>
      </c>
      <c r="E612">
        <v>75.2</v>
      </c>
      <c r="F612">
        <v>165.4</v>
      </c>
      <c r="G612" s="4">
        <f t="shared" si="18"/>
        <v>27.488233427738841</v>
      </c>
      <c r="H612" t="s">
        <v>41</v>
      </c>
      <c r="I612" t="s">
        <v>217</v>
      </c>
      <c r="J612">
        <v>123</v>
      </c>
      <c r="K612">
        <v>79</v>
      </c>
      <c r="L612">
        <v>85</v>
      </c>
      <c r="M612">
        <v>1</v>
      </c>
      <c r="N612" s="5">
        <v>2761.65</v>
      </c>
      <c r="O612" t="s">
        <v>57</v>
      </c>
      <c r="P612" t="str">
        <f t="shared" si="19"/>
        <v>Hospital Provincial de Tete</v>
      </c>
      <c r="Q612" t="s">
        <v>24</v>
      </c>
      <c r="R612">
        <v>3</v>
      </c>
    </row>
    <row r="613" spans="1:18" x14ac:dyDescent="0.45">
      <c r="A613" t="s">
        <v>698</v>
      </c>
      <c r="B613" s="3">
        <v>44978</v>
      </c>
      <c r="C613">
        <v>39</v>
      </c>
      <c r="D613" t="s">
        <v>20</v>
      </c>
      <c r="E613">
        <v>56.1</v>
      </c>
      <c r="F613">
        <v>165.9</v>
      </c>
      <c r="G613" s="4">
        <f t="shared" si="18"/>
        <v>20.3830931507357</v>
      </c>
      <c r="H613" t="s">
        <v>34</v>
      </c>
      <c r="I613" t="s">
        <v>128</v>
      </c>
      <c r="J613">
        <v>111</v>
      </c>
      <c r="K613">
        <v>64</v>
      </c>
      <c r="L613">
        <v>87</v>
      </c>
      <c r="M613">
        <v>8</v>
      </c>
      <c r="N613" s="5">
        <v>21925.16</v>
      </c>
      <c r="O613" t="s">
        <v>43</v>
      </c>
      <c r="P613" t="str">
        <f t="shared" si="19"/>
        <v>Hospital Central da Beira</v>
      </c>
      <c r="Q613" t="s">
        <v>24</v>
      </c>
      <c r="R613">
        <v>5</v>
      </c>
    </row>
    <row r="614" spans="1:18" x14ac:dyDescent="0.45">
      <c r="A614" t="s">
        <v>699</v>
      </c>
      <c r="B614" s="3">
        <v>45635</v>
      </c>
      <c r="C614">
        <v>43</v>
      </c>
      <c r="D614" t="s">
        <v>27</v>
      </c>
      <c r="E614">
        <v>61.3</v>
      </c>
      <c r="F614">
        <v>168.3</v>
      </c>
      <c r="G614" s="4">
        <f t="shared" si="18"/>
        <v>21.641743357167492</v>
      </c>
      <c r="H614" t="s">
        <v>41</v>
      </c>
      <c r="I614" t="s">
        <v>42</v>
      </c>
      <c r="J614">
        <v>107</v>
      </c>
      <c r="K614">
        <v>70</v>
      </c>
      <c r="L614">
        <v>90</v>
      </c>
      <c r="M614">
        <v>9</v>
      </c>
      <c r="N614" s="5">
        <v>23869.03</v>
      </c>
      <c r="O614" t="s">
        <v>63</v>
      </c>
      <c r="P614" t="str">
        <f t="shared" si="19"/>
        <v>Hospital Central de Nampula</v>
      </c>
      <c r="Q614" t="s">
        <v>24</v>
      </c>
      <c r="R614">
        <v>3</v>
      </c>
    </row>
    <row r="615" spans="1:18" x14ac:dyDescent="0.45">
      <c r="A615" t="s">
        <v>700</v>
      </c>
      <c r="B615" s="3">
        <v>45624</v>
      </c>
      <c r="C615">
        <v>10</v>
      </c>
      <c r="D615" t="s">
        <v>20</v>
      </c>
      <c r="E615">
        <v>25.2</v>
      </c>
      <c r="F615">
        <v>107.4</v>
      </c>
      <c r="G615" s="4">
        <f t="shared" si="18"/>
        <v>21.847008520333318</v>
      </c>
      <c r="H615" t="s">
        <v>28</v>
      </c>
      <c r="I615" t="s">
        <v>73</v>
      </c>
      <c r="J615">
        <v>93</v>
      </c>
      <c r="K615">
        <v>58</v>
      </c>
      <c r="L615">
        <v>93</v>
      </c>
      <c r="M615">
        <v>1</v>
      </c>
      <c r="N615" s="5">
        <v>5706.74</v>
      </c>
      <c r="O615" t="s">
        <v>57</v>
      </c>
      <c r="P615" t="str">
        <f t="shared" si="19"/>
        <v>Hospital Provincial de Tete</v>
      </c>
      <c r="Q615" t="s">
        <v>76</v>
      </c>
      <c r="R615">
        <v>4</v>
      </c>
    </row>
    <row r="616" spans="1:18" x14ac:dyDescent="0.45">
      <c r="A616" t="s">
        <v>701</v>
      </c>
      <c r="B616" s="3">
        <v>45427</v>
      </c>
      <c r="C616">
        <v>49</v>
      </c>
      <c r="D616" t="s">
        <v>20</v>
      </c>
      <c r="E616">
        <v>49.9</v>
      </c>
      <c r="F616">
        <v>167.9</v>
      </c>
      <c r="G616" s="4">
        <f t="shared" si="18"/>
        <v>17.701055075112421</v>
      </c>
      <c r="H616" t="s">
        <v>41</v>
      </c>
      <c r="I616" t="s">
        <v>217</v>
      </c>
      <c r="J616">
        <v>142</v>
      </c>
      <c r="K616">
        <v>87</v>
      </c>
      <c r="L616">
        <v>80</v>
      </c>
      <c r="M616">
        <v>1</v>
      </c>
      <c r="N616" s="5">
        <v>2660.26</v>
      </c>
      <c r="O616" t="s">
        <v>51</v>
      </c>
      <c r="P616" t="str">
        <f t="shared" si="19"/>
        <v>Hospital Central de Quelimane</v>
      </c>
      <c r="Q616" t="s">
        <v>24</v>
      </c>
      <c r="R616">
        <v>5</v>
      </c>
    </row>
    <row r="617" spans="1:18" x14ac:dyDescent="0.45">
      <c r="A617" t="s">
        <v>702</v>
      </c>
      <c r="B617" s="3">
        <v>45485</v>
      </c>
      <c r="C617">
        <v>36</v>
      </c>
      <c r="D617" t="s">
        <v>27</v>
      </c>
      <c r="E617">
        <v>65.5</v>
      </c>
      <c r="F617">
        <v>162</v>
      </c>
      <c r="G617" s="4">
        <f t="shared" si="18"/>
        <v>24.958085657674129</v>
      </c>
      <c r="H617" t="s">
        <v>46</v>
      </c>
      <c r="I617" t="s">
        <v>108</v>
      </c>
      <c r="J617">
        <v>103</v>
      </c>
      <c r="K617">
        <v>71</v>
      </c>
      <c r="L617">
        <v>113</v>
      </c>
      <c r="M617">
        <v>7</v>
      </c>
      <c r="N617" s="5">
        <v>23271.69</v>
      </c>
      <c r="O617" t="s">
        <v>23</v>
      </c>
      <c r="P617" t="str">
        <f t="shared" si="19"/>
        <v>Hospital Central de Maputo</v>
      </c>
      <c r="Q617" t="s">
        <v>24</v>
      </c>
      <c r="R617">
        <v>5</v>
      </c>
    </row>
    <row r="618" spans="1:18" x14ac:dyDescent="0.45">
      <c r="A618" t="s">
        <v>703</v>
      </c>
      <c r="B618" s="3">
        <v>44948</v>
      </c>
      <c r="C618">
        <v>19</v>
      </c>
      <c r="D618" t="s">
        <v>20</v>
      </c>
      <c r="E618">
        <v>58.4</v>
      </c>
      <c r="F618">
        <v>160.30000000000001</v>
      </c>
      <c r="G618" s="4">
        <f t="shared" si="18"/>
        <v>22.72719312549107</v>
      </c>
      <c r="H618" t="s">
        <v>34</v>
      </c>
      <c r="I618" t="s">
        <v>138</v>
      </c>
      <c r="J618">
        <v>98</v>
      </c>
      <c r="K618">
        <v>60</v>
      </c>
      <c r="L618">
        <v>85</v>
      </c>
      <c r="M618">
        <v>1</v>
      </c>
      <c r="N618" s="5">
        <v>3812.95</v>
      </c>
      <c r="O618" t="s">
        <v>67</v>
      </c>
      <c r="P618" t="str">
        <f t="shared" si="19"/>
        <v>Hospital Provincial de Pemba</v>
      </c>
      <c r="Q618" t="s">
        <v>24</v>
      </c>
      <c r="R618">
        <v>5</v>
      </c>
    </row>
    <row r="619" spans="1:18" x14ac:dyDescent="0.45">
      <c r="A619" t="s">
        <v>704</v>
      </c>
      <c r="B619" s="3">
        <v>45568</v>
      </c>
      <c r="C619">
        <v>18</v>
      </c>
      <c r="D619" t="s">
        <v>27</v>
      </c>
      <c r="E619">
        <v>82</v>
      </c>
      <c r="F619">
        <v>161.69999999999999</v>
      </c>
      <c r="G619" s="4">
        <f t="shared" si="18"/>
        <v>31.361282355186411</v>
      </c>
      <c r="H619" t="s">
        <v>34</v>
      </c>
      <c r="I619" t="s">
        <v>138</v>
      </c>
      <c r="J619">
        <v>116</v>
      </c>
      <c r="K619">
        <v>68</v>
      </c>
      <c r="L619">
        <v>65</v>
      </c>
      <c r="M619">
        <v>1</v>
      </c>
      <c r="N619" s="5">
        <v>3206.77</v>
      </c>
      <c r="O619" t="s">
        <v>30</v>
      </c>
      <c r="P619" t="str">
        <f t="shared" si="19"/>
        <v>Hospital Provincial de Inhambane</v>
      </c>
      <c r="Q619" t="s">
        <v>24</v>
      </c>
      <c r="R619">
        <v>4</v>
      </c>
    </row>
    <row r="620" spans="1:18" x14ac:dyDescent="0.45">
      <c r="A620" t="s">
        <v>705</v>
      </c>
      <c r="B620" s="3">
        <v>45392</v>
      </c>
      <c r="C620">
        <v>0</v>
      </c>
      <c r="D620" t="s">
        <v>27</v>
      </c>
      <c r="E620">
        <v>29.1</v>
      </c>
      <c r="F620">
        <v>143.1</v>
      </c>
      <c r="G620" s="4">
        <f t="shared" si="18"/>
        <v>14.210642745906384</v>
      </c>
      <c r="H620" t="s">
        <v>28</v>
      </c>
      <c r="I620" t="s">
        <v>73</v>
      </c>
      <c r="J620">
        <v>97</v>
      </c>
      <c r="K620">
        <v>57</v>
      </c>
      <c r="L620">
        <v>66</v>
      </c>
      <c r="M620">
        <v>1</v>
      </c>
      <c r="N620" s="5">
        <v>3287.81</v>
      </c>
      <c r="O620" t="s">
        <v>43</v>
      </c>
      <c r="P620" t="str">
        <f t="shared" si="19"/>
        <v>Hospital Central da Beira</v>
      </c>
      <c r="Q620" t="s">
        <v>24</v>
      </c>
      <c r="R620">
        <v>3</v>
      </c>
    </row>
    <row r="621" spans="1:18" x14ac:dyDescent="0.45">
      <c r="A621" t="s">
        <v>706</v>
      </c>
      <c r="B621" s="3">
        <v>45391</v>
      </c>
      <c r="C621">
        <v>3</v>
      </c>
      <c r="D621" t="s">
        <v>20</v>
      </c>
      <c r="E621">
        <v>24.1</v>
      </c>
      <c r="F621">
        <v>102.6</v>
      </c>
      <c r="G621" s="4">
        <f t="shared" si="18"/>
        <v>22.894033871770613</v>
      </c>
      <c r="H621" t="s">
        <v>28</v>
      </c>
      <c r="I621" t="s">
        <v>29</v>
      </c>
      <c r="J621">
        <v>87</v>
      </c>
      <c r="K621">
        <v>63</v>
      </c>
      <c r="L621">
        <v>95</v>
      </c>
      <c r="M621">
        <v>8</v>
      </c>
      <c r="N621" s="5">
        <v>23805.02</v>
      </c>
      <c r="O621" t="s">
        <v>67</v>
      </c>
      <c r="P621" t="str">
        <f t="shared" si="19"/>
        <v>Hospital Provincial de Pemba</v>
      </c>
      <c r="Q621" t="s">
        <v>24</v>
      </c>
      <c r="R621">
        <v>5</v>
      </c>
    </row>
    <row r="622" spans="1:18" x14ac:dyDescent="0.45">
      <c r="A622" t="s">
        <v>707</v>
      </c>
      <c r="B622" s="3">
        <v>45657</v>
      </c>
      <c r="C622">
        <v>6</v>
      </c>
      <c r="D622" t="s">
        <v>27</v>
      </c>
      <c r="E622">
        <v>20.5</v>
      </c>
      <c r="F622">
        <v>109</v>
      </c>
      <c r="G622" s="4">
        <f t="shared" si="18"/>
        <v>17.254439861964478</v>
      </c>
      <c r="H622" t="s">
        <v>28</v>
      </c>
      <c r="I622" t="s">
        <v>73</v>
      </c>
      <c r="J622">
        <v>99</v>
      </c>
      <c r="K622">
        <v>62</v>
      </c>
      <c r="L622">
        <v>106</v>
      </c>
      <c r="M622">
        <v>1</v>
      </c>
      <c r="N622" s="5">
        <v>5341.77</v>
      </c>
      <c r="O622" t="s">
        <v>43</v>
      </c>
      <c r="P622" t="str">
        <f t="shared" si="19"/>
        <v>Hospital Central da Beira</v>
      </c>
      <c r="Q622" t="s">
        <v>76</v>
      </c>
      <c r="R622">
        <v>2</v>
      </c>
    </row>
    <row r="623" spans="1:18" x14ac:dyDescent="0.45">
      <c r="A623" t="s">
        <v>708</v>
      </c>
      <c r="B623" s="3">
        <v>45194</v>
      </c>
      <c r="C623">
        <v>46</v>
      </c>
      <c r="D623" t="s">
        <v>27</v>
      </c>
      <c r="E623">
        <v>66.2</v>
      </c>
      <c r="F623">
        <v>171.5</v>
      </c>
      <c r="G623" s="4">
        <f t="shared" si="18"/>
        <v>22.507628624127701</v>
      </c>
      <c r="H623" t="s">
        <v>55</v>
      </c>
      <c r="I623" t="s">
        <v>62</v>
      </c>
      <c r="J623">
        <v>112</v>
      </c>
      <c r="K623">
        <v>69</v>
      </c>
      <c r="L623">
        <v>77</v>
      </c>
      <c r="M623">
        <v>2</v>
      </c>
      <c r="N623" s="5">
        <v>5763.29</v>
      </c>
      <c r="O623" t="s">
        <v>38</v>
      </c>
      <c r="P623" t="str">
        <f t="shared" si="19"/>
        <v>Hospital Provincial de Xai-Xai</v>
      </c>
      <c r="Q623" t="s">
        <v>202</v>
      </c>
      <c r="R623">
        <v>4</v>
      </c>
    </row>
    <row r="624" spans="1:18" x14ac:dyDescent="0.45">
      <c r="A624" t="s">
        <v>709</v>
      </c>
      <c r="B624" s="3">
        <v>45114</v>
      </c>
      <c r="C624">
        <v>41</v>
      </c>
      <c r="D624" t="s">
        <v>27</v>
      </c>
      <c r="E624">
        <v>59.1</v>
      </c>
      <c r="F624">
        <v>159.5</v>
      </c>
      <c r="G624" s="4">
        <f t="shared" si="18"/>
        <v>23.230903784357466</v>
      </c>
      <c r="H624" t="s">
        <v>46</v>
      </c>
      <c r="I624" t="s">
        <v>66</v>
      </c>
      <c r="J624">
        <v>103</v>
      </c>
      <c r="K624">
        <v>61</v>
      </c>
      <c r="L624">
        <v>74</v>
      </c>
      <c r="M624">
        <v>1</v>
      </c>
      <c r="N624" s="5">
        <v>5553.56</v>
      </c>
      <c r="O624" t="s">
        <v>43</v>
      </c>
      <c r="P624" t="str">
        <f t="shared" si="19"/>
        <v>Hospital Central da Beira</v>
      </c>
      <c r="Q624" t="s">
        <v>37</v>
      </c>
      <c r="R624">
        <v>1</v>
      </c>
    </row>
    <row r="625" spans="1:18" x14ac:dyDescent="0.45">
      <c r="A625" t="s">
        <v>710</v>
      </c>
      <c r="B625" s="3">
        <v>45358</v>
      </c>
      <c r="C625">
        <v>27</v>
      </c>
      <c r="D625" t="s">
        <v>20</v>
      </c>
      <c r="E625">
        <v>53.8</v>
      </c>
      <c r="F625">
        <v>157.9</v>
      </c>
      <c r="G625" s="4">
        <f t="shared" si="18"/>
        <v>21.578339197855321</v>
      </c>
      <c r="H625" t="s">
        <v>46</v>
      </c>
      <c r="I625" t="s">
        <v>94</v>
      </c>
      <c r="J625">
        <v>105</v>
      </c>
      <c r="K625">
        <v>55</v>
      </c>
      <c r="L625">
        <v>65</v>
      </c>
      <c r="M625">
        <v>8</v>
      </c>
      <c r="N625" s="5">
        <v>11404.9</v>
      </c>
      <c r="O625" t="s">
        <v>23</v>
      </c>
      <c r="P625" t="str">
        <f t="shared" si="19"/>
        <v>Hospital Central de Maputo</v>
      </c>
      <c r="Q625" t="s">
        <v>24</v>
      </c>
      <c r="R625">
        <v>4</v>
      </c>
    </row>
    <row r="626" spans="1:18" x14ac:dyDescent="0.45">
      <c r="A626" t="s">
        <v>711</v>
      </c>
      <c r="B626" s="3">
        <v>45457</v>
      </c>
      <c r="C626">
        <v>32</v>
      </c>
      <c r="D626" t="s">
        <v>27</v>
      </c>
      <c r="E626">
        <v>61.3</v>
      </c>
      <c r="F626">
        <v>166.6</v>
      </c>
      <c r="G626" s="4">
        <f t="shared" si="18"/>
        <v>22.085664998292234</v>
      </c>
      <c r="H626" t="s">
        <v>99</v>
      </c>
      <c r="I626" t="s">
        <v>105</v>
      </c>
      <c r="J626">
        <v>117</v>
      </c>
      <c r="K626">
        <v>70</v>
      </c>
      <c r="L626">
        <v>109</v>
      </c>
      <c r="M626">
        <v>1</v>
      </c>
      <c r="N626" s="5">
        <v>3935.46</v>
      </c>
      <c r="O626" t="s">
        <v>51</v>
      </c>
      <c r="P626" t="str">
        <f t="shared" si="19"/>
        <v>Hospital Central de Quelimane</v>
      </c>
      <c r="Q626" t="s">
        <v>24</v>
      </c>
      <c r="R626">
        <v>2</v>
      </c>
    </row>
    <row r="627" spans="1:18" x14ac:dyDescent="0.45">
      <c r="A627" t="s">
        <v>712</v>
      </c>
      <c r="B627" s="3">
        <v>45136</v>
      </c>
      <c r="C627">
        <v>47</v>
      </c>
      <c r="D627" t="s">
        <v>20</v>
      </c>
      <c r="E627">
        <v>60.7</v>
      </c>
      <c r="F627">
        <v>162</v>
      </c>
      <c r="G627" s="4">
        <f t="shared" si="18"/>
        <v>23.12909617436366</v>
      </c>
      <c r="H627" t="s">
        <v>55</v>
      </c>
      <c r="I627" t="s">
        <v>197</v>
      </c>
      <c r="J627">
        <v>128</v>
      </c>
      <c r="K627">
        <v>80</v>
      </c>
      <c r="L627">
        <v>90</v>
      </c>
      <c r="M627">
        <v>2</v>
      </c>
      <c r="N627" s="5">
        <v>7419.36</v>
      </c>
      <c r="O627" t="s">
        <v>23</v>
      </c>
      <c r="P627" t="str">
        <f t="shared" si="19"/>
        <v>Hospital Central de Maputo</v>
      </c>
      <c r="Q627" t="s">
        <v>24</v>
      </c>
      <c r="R627">
        <v>3</v>
      </c>
    </row>
    <row r="628" spans="1:18" x14ac:dyDescent="0.45">
      <c r="A628" t="s">
        <v>713</v>
      </c>
      <c r="B628" s="3">
        <v>45026</v>
      </c>
      <c r="C628">
        <v>15</v>
      </c>
      <c r="D628" t="s">
        <v>20</v>
      </c>
      <c r="E628">
        <v>52.7</v>
      </c>
      <c r="F628">
        <v>167.8</v>
      </c>
      <c r="G628" s="4">
        <f t="shared" si="18"/>
        <v>18.716588935406101</v>
      </c>
      <c r="H628" t="s">
        <v>28</v>
      </c>
      <c r="I628" t="s">
        <v>29</v>
      </c>
      <c r="J628">
        <v>111</v>
      </c>
      <c r="K628">
        <v>69</v>
      </c>
      <c r="L628">
        <v>65</v>
      </c>
      <c r="M628">
        <v>6</v>
      </c>
      <c r="N628" s="5">
        <v>19310.580000000002</v>
      </c>
      <c r="O628" t="s">
        <v>63</v>
      </c>
      <c r="P628" t="str">
        <f t="shared" si="19"/>
        <v>Hospital Central de Nampula</v>
      </c>
      <c r="Q628" t="s">
        <v>24</v>
      </c>
      <c r="R628">
        <v>5</v>
      </c>
    </row>
    <row r="629" spans="1:18" x14ac:dyDescent="0.45">
      <c r="A629" t="s">
        <v>714</v>
      </c>
      <c r="B629" s="3">
        <v>45558</v>
      </c>
      <c r="C629">
        <v>65</v>
      </c>
      <c r="D629" t="s">
        <v>20</v>
      </c>
      <c r="E629">
        <v>84.3</v>
      </c>
      <c r="F629">
        <v>169.6</v>
      </c>
      <c r="G629" s="4">
        <f t="shared" si="18"/>
        <v>29.307304645781418</v>
      </c>
      <c r="H629" t="s">
        <v>41</v>
      </c>
      <c r="I629" t="s">
        <v>217</v>
      </c>
      <c r="J629">
        <v>121</v>
      </c>
      <c r="K629">
        <v>71</v>
      </c>
      <c r="L629">
        <v>91</v>
      </c>
      <c r="M629">
        <v>2</v>
      </c>
      <c r="N629" s="5">
        <v>5803.53</v>
      </c>
      <c r="O629" t="s">
        <v>67</v>
      </c>
      <c r="P629" t="str">
        <f t="shared" si="19"/>
        <v>Hospital Provincial de Pemba</v>
      </c>
      <c r="Q629" t="s">
        <v>24</v>
      </c>
      <c r="R629">
        <v>4</v>
      </c>
    </row>
    <row r="630" spans="1:18" x14ac:dyDescent="0.45">
      <c r="A630" t="s">
        <v>715</v>
      </c>
      <c r="B630" s="3">
        <v>45327</v>
      </c>
      <c r="C630">
        <v>18</v>
      </c>
      <c r="D630" t="s">
        <v>27</v>
      </c>
      <c r="E630">
        <v>68.900000000000006</v>
      </c>
      <c r="F630">
        <v>146.9</v>
      </c>
      <c r="G630" s="4">
        <f t="shared" si="18"/>
        <v>31.928287860623985</v>
      </c>
      <c r="H630" t="s">
        <v>46</v>
      </c>
      <c r="I630" t="s">
        <v>47</v>
      </c>
      <c r="J630">
        <v>113</v>
      </c>
      <c r="K630">
        <v>73</v>
      </c>
      <c r="L630">
        <v>100</v>
      </c>
      <c r="M630">
        <v>3</v>
      </c>
      <c r="N630" s="5">
        <v>5551.49</v>
      </c>
      <c r="O630" t="s">
        <v>51</v>
      </c>
      <c r="P630" t="str">
        <f t="shared" si="19"/>
        <v>Hospital Central de Quelimane</v>
      </c>
      <c r="Q630" t="s">
        <v>24</v>
      </c>
      <c r="R630">
        <v>5</v>
      </c>
    </row>
    <row r="631" spans="1:18" x14ac:dyDescent="0.45">
      <c r="A631" t="s">
        <v>716</v>
      </c>
      <c r="B631" s="3">
        <v>45290</v>
      </c>
      <c r="C631">
        <v>49</v>
      </c>
      <c r="D631" t="s">
        <v>20</v>
      </c>
      <c r="E631">
        <v>97.5</v>
      </c>
      <c r="F631">
        <v>158.69999999999999</v>
      </c>
      <c r="G631" s="4">
        <f t="shared" si="18"/>
        <v>38.712459337028292</v>
      </c>
      <c r="H631" t="s">
        <v>41</v>
      </c>
      <c r="I631" t="s">
        <v>161</v>
      </c>
      <c r="J631">
        <v>104</v>
      </c>
      <c r="K631">
        <v>73</v>
      </c>
      <c r="L631">
        <v>74</v>
      </c>
      <c r="M631">
        <v>4</v>
      </c>
      <c r="N631" s="5">
        <v>7988.32</v>
      </c>
      <c r="O631" t="s">
        <v>51</v>
      </c>
      <c r="P631" t="str">
        <f t="shared" si="19"/>
        <v>Hospital Central de Quelimane</v>
      </c>
      <c r="Q631" t="s">
        <v>24</v>
      </c>
      <c r="R631">
        <v>5</v>
      </c>
    </row>
    <row r="632" spans="1:18" x14ac:dyDescent="0.45">
      <c r="A632" t="s">
        <v>717</v>
      </c>
      <c r="B632" s="3">
        <v>45274</v>
      </c>
      <c r="C632">
        <v>37</v>
      </c>
      <c r="D632" t="s">
        <v>27</v>
      </c>
      <c r="E632">
        <v>84</v>
      </c>
      <c r="F632">
        <v>160.30000000000001</v>
      </c>
      <c r="G632" s="4">
        <f t="shared" si="18"/>
        <v>32.689798331185784</v>
      </c>
      <c r="H632" t="s">
        <v>46</v>
      </c>
      <c r="I632" t="s">
        <v>94</v>
      </c>
      <c r="J632">
        <v>110</v>
      </c>
      <c r="K632">
        <v>73</v>
      </c>
      <c r="L632">
        <v>112</v>
      </c>
      <c r="M632">
        <v>1</v>
      </c>
      <c r="N632" s="5">
        <v>4627.84</v>
      </c>
      <c r="O632" t="s">
        <v>57</v>
      </c>
      <c r="P632" t="str">
        <f t="shared" si="19"/>
        <v>Hospital Provincial de Tete</v>
      </c>
      <c r="Q632" t="s">
        <v>202</v>
      </c>
      <c r="R632">
        <v>5</v>
      </c>
    </row>
    <row r="633" spans="1:18" x14ac:dyDescent="0.45">
      <c r="A633" t="s">
        <v>718</v>
      </c>
      <c r="B633" s="3">
        <v>45465</v>
      </c>
      <c r="C633">
        <v>25</v>
      </c>
      <c r="D633" t="s">
        <v>27</v>
      </c>
      <c r="E633">
        <v>55.6</v>
      </c>
      <c r="F633">
        <v>152.9</v>
      </c>
      <c r="G633" s="4">
        <f t="shared" si="18"/>
        <v>23.782626791129076</v>
      </c>
      <c r="H633" t="s">
        <v>21</v>
      </c>
      <c r="I633" t="s">
        <v>123</v>
      </c>
      <c r="J633">
        <v>90</v>
      </c>
      <c r="K633">
        <v>55</v>
      </c>
      <c r="L633">
        <v>92</v>
      </c>
      <c r="M633">
        <v>5</v>
      </c>
      <c r="N633" s="5">
        <v>9826.91</v>
      </c>
      <c r="O633" t="s">
        <v>52</v>
      </c>
      <c r="P633" t="str">
        <f t="shared" si="19"/>
        <v>Hospital Provincial de Chimoio</v>
      </c>
      <c r="Q633" t="s">
        <v>24</v>
      </c>
      <c r="R633">
        <v>4</v>
      </c>
    </row>
    <row r="634" spans="1:18" x14ac:dyDescent="0.45">
      <c r="A634" t="s">
        <v>719</v>
      </c>
      <c r="B634" s="3">
        <v>45164</v>
      </c>
      <c r="C634">
        <v>39</v>
      </c>
      <c r="D634" t="s">
        <v>20</v>
      </c>
      <c r="E634">
        <v>52.3</v>
      </c>
      <c r="F634">
        <v>161.80000000000001</v>
      </c>
      <c r="G634" s="4">
        <f t="shared" si="18"/>
        <v>19.97766168918578</v>
      </c>
      <c r="H634" t="s">
        <v>21</v>
      </c>
      <c r="I634" t="s">
        <v>70</v>
      </c>
      <c r="J634">
        <v>142</v>
      </c>
      <c r="K634">
        <v>85</v>
      </c>
      <c r="L634">
        <v>112</v>
      </c>
      <c r="M634">
        <v>1</v>
      </c>
      <c r="N634" s="5">
        <v>4593.59</v>
      </c>
      <c r="O634" t="s">
        <v>30</v>
      </c>
      <c r="P634" t="str">
        <f t="shared" si="19"/>
        <v>Hospital Provincial de Inhambane</v>
      </c>
      <c r="Q634" t="s">
        <v>24</v>
      </c>
      <c r="R634">
        <v>1</v>
      </c>
    </row>
    <row r="635" spans="1:18" x14ac:dyDescent="0.45">
      <c r="A635" t="s">
        <v>720</v>
      </c>
      <c r="B635" s="3">
        <v>45105</v>
      </c>
      <c r="C635">
        <v>42</v>
      </c>
      <c r="D635" t="s">
        <v>27</v>
      </c>
      <c r="E635">
        <v>89</v>
      </c>
      <c r="F635">
        <v>143.6</v>
      </c>
      <c r="G635" s="4">
        <f t="shared" si="18"/>
        <v>43.159969273981424</v>
      </c>
      <c r="H635" t="s">
        <v>21</v>
      </c>
      <c r="I635" t="s">
        <v>89</v>
      </c>
      <c r="J635">
        <v>134</v>
      </c>
      <c r="K635">
        <v>81</v>
      </c>
      <c r="L635">
        <v>89</v>
      </c>
      <c r="M635">
        <v>1</v>
      </c>
      <c r="N635" s="5">
        <v>2465.2199999999998</v>
      </c>
      <c r="O635" t="s">
        <v>63</v>
      </c>
      <c r="P635" t="str">
        <f t="shared" si="19"/>
        <v>Hospital Central de Nampula</v>
      </c>
      <c r="Q635" t="s">
        <v>37</v>
      </c>
      <c r="R635">
        <v>3</v>
      </c>
    </row>
    <row r="636" spans="1:18" x14ac:dyDescent="0.45">
      <c r="A636" t="s">
        <v>721</v>
      </c>
      <c r="B636" s="3">
        <v>45523</v>
      </c>
      <c r="C636">
        <v>56</v>
      </c>
      <c r="D636" t="s">
        <v>20</v>
      </c>
      <c r="E636">
        <v>84.9</v>
      </c>
      <c r="F636">
        <v>167.7</v>
      </c>
      <c r="G636" s="4">
        <f t="shared" si="18"/>
        <v>30.188502127596035</v>
      </c>
      <c r="H636" t="s">
        <v>46</v>
      </c>
      <c r="I636" t="s">
        <v>47</v>
      </c>
      <c r="J636">
        <v>131</v>
      </c>
      <c r="K636">
        <v>77</v>
      </c>
      <c r="L636">
        <v>72</v>
      </c>
      <c r="M636">
        <v>1</v>
      </c>
      <c r="N636" s="5">
        <v>4189.13</v>
      </c>
      <c r="O636" t="s">
        <v>67</v>
      </c>
      <c r="P636" t="str">
        <f t="shared" si="19"/>
        <v>Hospital Provincial de Pemba</v>
      </c>
      <c r="Q636" t="s">
        <v>24</v>
      </c>
      <c r="R636">
        <v>4</v>
      </c>
    </row>
    <row r="637" spans="1:18" x14ac:dyDescent="0.45">
      <c r="A637" t="s">
        <v>722</v>
      </c>
      <c r="B637" s="3">
        <v>45139</v>
      </c>
      <c r="C637">
        <v>49</v>
      </c>
      <c r="D637" t="s">
        <v>27</v>
      </c>
      <c r="E637">
        <v>53.6</v>
      </c>
      <c r="F637">
        <v>154.5</v>
      </c>
      <c r="G637" s="4">
        <f t="shared" si="18"/>
        <v>22.454729213141881</v>
      </c>
      <c r="H637" t="s">
        <v>41</v>
      </c>
      <c r="I637" t="s">
        <v>42</v>
      </c>
      <c r="J637">
        <v>122</v>
      </c>
      <c r="K637">
        <v>77</v>
      </c>
      <c r="L637">
        <v>75</v>
      </c>
      <c r="M637">
        <v>1</v>
      </c>
      <c r="N637" s="5">
        <v>4105.13</v>
      </c>
      <c r="O637" t="s">
        <v>38</v>
      </c>
      <c r="P637" t="str">
        <f t="shared" si="19"/>
        <v>Hospital Provincial de Xai-Xai</v>
      </c>
      <c r="Q637" t="s">
        <v>24</v>
      </c>
      <c r="R637">
        <v>3</v>
      </c>
    </row>
    <row r="638" spans="1:18" x14ac:dyDescent="0.45">
      <c r="A638" t="s">
        <v>723</v>
      </c>
      <c r="B638" s="3">
        <v>45542</v>
      </c>
      <c r="C638">
        <v>45</v>
      </c>
      <c r="D638" t="s">
        <v>27</v>
      </c>
      <c r="E638">
        <v>59.7</v>
      </c>
      <c r="F638">
        <v>169</v>
      </c>
      <c r="G638" s="4">
        <f t="shared" si="18"/>
        <v>20.902629459752813</v>
      </c>
      <c r="H638" t="s">
        <v>21</v>
      </c>
      <c r="I638" t="s">
        <v>123</v>
      </c>
      <c r="J638">
        <v>116</v>
      </c>
      <c r="K638">
        <v>69</v>
      </c>
      <c r="L638">
        <v>123</v>
      </c>
      <c r="M638">
        <v>1</v>
      </c>
      <c r="N638" s="5">
        <v>5468.22</v>
      </c>
      <c r="O638" t="s">
        <v>67</v>
      </c>
      <c r="P638" t="str">
        <f t="shared" si="19"/>
        <v>Hospital Provincial de Pemba</v>
      </c>
      <c r="Q638" t="s">
        <v>24</v>
      </c>
      <c r="R638">
        <v>4</v>
      </c>
    </row>
    <row r="639" spans="1:18" x14ac:dyDescent="0.45">
      <c r="A639" t="s">
        <v>724</v>
      </c>
      <c r="B639" s="3">
        <v>44985</v>
      </c>
      <c r="C639">
        <v>18</v>
      </c>
      <c r="D639" t="s">
        <v>20</v>
      </c>
      <c r="E639">
        <v>61.5</v>
      </c>
      <c r="F639">
        <v>161.69999999999999</v>
      </c>
      <c r="G639" s="4">
        <f t="shared" si="18"/>
        <v>23.52096176638981</v>
      </c>
      <c r="H639" t="s">
        <v>55</v>
      </c>
      <c r="I639" t="s">
        <v>62</v>
      </c>
      <c r="J639">
        <v>100</v>
      </c>
      <c r="K639">
        <v>63</v>
      </c>
      <c r="L639">
        <v>92</v>
      </c>
      <c r="M639">
        <v>1</v>
      </c>
      <c r="N639" s="5">
        <v>5900.34</v>
      </c>
      <c r="O639" t="s">
        <v>51</v>
      </c>
      <c r="P639" t="str">
        <f t="shared" si="19"/>
        <v>Hospital Central de Quelimane</v>
      </c>
      <c r="Q639" t="s">
        <v>37</v>
      </c>
      <c r="R639">
        <v>2</v>
      </c>
    </row>
    <row r="640" spans="1:18" x14ac:dyDescent="0.45">
      <c r="A640" t="s">
        <v>725</v>
      </c>
      <c r="B640" s="3">
        <v>45432</v>
      </c>
      <c r="C640">
        <v>25</v>
      </c>
      <c r="D640" t="s">
        <v>27</v>
      </c>
      <c r="E640">
        <v>67.8</v>
      </c>
      <c r="F640">
        <v>161</v>
      </c>
      <c r="G640" s="4">
        <f t="shared" si="18"/>
        <v>26.156398287103116</v>
      </c>
      <c r="H640" t="s">
        <v>99</v>
      </c>
      <c r="I640" t="s">
        <v>105</v>
      </c>
      <c r="J640">
        <v>92</v>
      </c>
      <c r="K640">
        <v>61</v>
      </c>
      <c r="L640">
        <v>122</v>
      </c>
      <c r="M640">
        <v>2</v>
      </c>
      <c r="N640" s="5">
        <v>5237.8599999999997</v>
      </c>
      <c r="O640" t="s">
        <v>23</v>
      </c>
      <c r="P640" t="str">
        <f t="shared" si="19"/>
        <v>Hospital Central de Maputo</v>
      </c>
      <c r="Q640" t="s">
        <v>24</v>
      </c>
      <c r="R640">
        <v>3</v>
      </c>
    </row>
    <row r="641" spans="1:18" x14ac:dyDescent="0.45">
      <c r="A641" t="s">
        <v>726</v>
      </c>
      <c r="B641" s="3">
        <v>45285</v>
      </c>
      <c r="C641">
        <v>22</v>
      </c>
      <c r="D641" t="s">
        <v>27</v>
      </c>
      <c r="E641">
        <v>64.5</v>
      </c>
      <c r="F641">
        <v>166</v>
      </c>
      <c r="G641" s="4">
        <f t="shared" si="18"/>
        <v>23.406880534184936</v>
      </c>
      <c r="H641" t="s">
        <v>41</v>
      </c>
      <c r="I641" t="s">
        <v>113</v>
      </c>
      <c r="J641">
        <v>137</v>
      </c>
      <c r="K641">
        <v>74</v>
      </c>
      <c r="L641">
        <v>65</v>
      </c>
      <c r="M641">
        <v>4</v>
      </c>
      <c r="N641" s="5">
        <v>12701.63</v>
      </c>
      <c r="O641" t="s">
        <v>23</v>
      </c>
      <c r="P641" t="str">
        <f t="shared" si="19"/>
        <v>Hospital Central de Maputo</v>
      </c>
      <c r="Q641" t="s">
        <v>24</v>
      </c>
      <c r="R641">
        <v>4</v>
      </c>
    </row>
    <row r="642" spans="1:18" x14ac:dyDescent="0.45">
      <c r="A642" t="s">
        <v>727</v>
      </c>
      <c r="B642" s="3">
        <v>45367</v>
      </c>
      <c r="C642">
        <v>30</v>
      </c>
      <c r="D642" t="s">
        <v>27</v>
      </c>
      <c r="E642">
        <v>73.7</v>
      </c>
      <c r="F642">
        <v>145.19999999999999</v>
      </c>
      <c r="G642" s="4">
        <f t="shared" ref="G642:G705" si="20">E642/((F642/100)^2)</f>
        <v>34.957008097503966</v>
      </c>
      <c r="H642" t="s">
        <v>55</v>
      </c>
      <c r="I642" t="s">
        <v>80</v>
      </c>
      <c r="J642">
        <v>123</v>
      </c>
      <c r="K642">
        <v>75</v>
      </c>
      <c r="L642">
        <v>95</v>
      </c>
      <c r="M642">
        <v>1</v>
      </c>
      <c r="N642" s="5">
        <v>5358.39</v>
      </c>
      <c r="O642" t="s">
        <v>31</v>
      </c>
      <c r="P642" t="str">
        <f t="shared" ref="P642:P705" si="21">INDEX($U$2:$U$12,MATCH(O642,$T$2:$T$12,0))</f>
        <v>Hospital Provincial da Matola</v>
      </c>
      <c r="Q642" t="s">
        <v>24</v>
      </c>
      <c r="R642">
        <v>5</v>
      </c>
    </row>
    <row r="643" spans="1:18" x14ac:dyDescent="0.45">
      <c r="A643" t="s">
        <v>728</v>
      </c>
      <c r="B643" s="3">
        <v>45476</v>
      </c>
      <c r="C643">
        <v>55</v>
      </c>
      <c r="D643" t="s">
        <v>20</v>
      </c>
      <c r="E643">
        <v>57.5</v>
      </c>
      <c r="F643">
        <v>167.8</v>
      </c>
      <c r="G643" s="4">
        <f t="shared" si="20"/>
        <v>20.421325688536069</v>
      </c>
      <c r="H643" t="s">
        <v>34</v>
      </c>
      <c r="I643" t="s">
        <v>128</v>
      </c>
      <c r="J643">
        <v>125</v>
      </c>
      <c r="K643">
        <v>78</v>
      </c>
      <c r="L643">
        <v>77</v>
      </c>
      <c r="M643">
        <v>1</v>
      </c>
      <c r="N643" s="5">
        <v>5645.87</v>
      </c>
      <c r="O643" t="s">
        <v>36</v>
      </c>
      <c r="P643" t="str">
        <f t="shared" si="21"/>
        <v>Hospital Provincial de Lichinga</v>
      </c>
      <c r="Q643" t="s">
        <v>24</v>
      </c>
      <c r="R643">
        <v>4</v>
      </c>
    </row>
    <row r="644" spans="1:18" x14ac:dyDescent="0.45">
      <c r="A644" t="s">
        <v>729</v>
      </c>
      <c r="B644" s="3">
        <v>45600</v>
      </c>
      <c r="C644">
        <v>43</v>
      </c>
      <c r="D644" t="s">
        <v>20</v>
      </c>
      <c r="E644">
        <v>79</v>
      </c>
      <c r="F644">
        <v>163</v>
      </c>
      <c r="G644" s="4">
        <f t="shared" si="20"/>
        <v>29.733900410252552</v>
      </c>
      <c r="H644" t="s">
        <v>46</v>
      </c>
      <c r="I644" t="s">
        <v>47</v>
      </c>
      <c r="J644">
        <v>97</v>
      </c>
      <c r="K644">
        <v>60</v>
      </c>
      <c r="L644">
        <v>65</v>
      </c>
      <c r="M644">
        <v>1</v>
      </c>
      <c r="N644" s="5">
        <v>6058.63</v>
      </c>
      <c r="O644" t="s">
        <v>63</v>
      </c>
      <c r="P644" t="str">
        <f t="shared" si="21"/>
        <v>Hospital Central de Nampula</v>
      </c>
      <c r="Q644" t="s">
        <v>24</v>
      </c>
      <c r="R644">
        <v>4</v>
      </c>
    </row>
    <row r="645" spans="1:18" x14ac:dyDescent="0.45">
      <c r="A645" t="s">
        <v>730</v>
      </c>
      <c r="B645" s="3">
        <v>45466</v>
      </c>
      <c r="C645">
        <v>67</v>
      </c>
      <c r="D645" t="s">
        <v>27</v>
      </c>
      <c r="E645">
        <v>72.599999999999994</v>
      </c>
      <c r="F645">
        <v>181.2</v>
      </c>
      <c r="G645" s="4">
        <f t="shared" si="20"/>
        <v>22.111603292253264</v>
      </c>
      <c r="H645" t="s">
        <v>91</v>
      </c>
      <c r="I645" t="s">
        <v>92</v>
      </c>
      <c r="J645">
        <v>122</v>
      </c>
      <c r="K645">
        <v>67</v>
      </c>
      <c r="L645">
        <v>90</v>
      </c>
      <c r="M645">
        <v>1</v>
      </c>
      <c r="N645" s="5">
        <v>4459.32</v>
      </c>
      <c r="O645" t="s">
        <v>51</v>
      </c>
      <c r="P645" t="str">
        <f t="shared" si="21"/>
        <v>Hospital Central de Quelimane</v>
      </c>
      <c r="Q645" t="s">
        <v>24</v>
      </c>
      <c r="R645">
        <v>4</v>
      </c>
    </row>
    <row r="646" spans="1:18" x14ac:dyDescent="0.45">
      <c r="A646" t="s">
        <v>731</v>
      </c>
      <c r="B646" s="3">
        <v>45072</v>
      </c>
      <c r="C646">
        <v>49</v>
      </c>
      <c r="D646" t="s">
        <v>20</v>
      </c>
      <c r="E646">
        <v>53.3</v>
      </c>
      <c r="F646">
        <v>157.19999999999999</v>
      </c>
      <c r="G646" s="4">
        <f t="shared" si="20"/>
        <v>21.568608407953437</v>
      </c>
      <c r="H646" t="s">
        <v>34</v>
      </c>
      <c r="I646" t="s">
        <v>35</v>
      </c>
      <c r="J646">
        <v>130</v>
      </c>
      <c r="K646">
        <v>85</v>
      </c>
      <c r="L646">
        <v>105</v>
      </c>
      <c r="M646">
        <v>1</v>
      </c>
      <c r="N646" s="5">
        <v>3664.44</v>
      </c>
      <c r="O646" t="s">
        <v>38</v>
      </c>
      <c r="P646" t="str">
        <f t="shared" si="21"/>
        <v>Hospital Provincial de Xai-Xai</v>
      </c>
      <c r="Q646" t="s">
        <v>24</v>
      </c>
      <c r="R646">
        <v>4</v>
      </c>
    </row>
    <row r="647" spans="1:18" x14ac:dyDescent="0.45">
      <c r="A647" t="s">
        <v>732</v>
      </c>
      <c r="B647" s="3">
        <v>45318</v>
      </c>
      <c r="C647">
        <v>40</v>
      </c>
      <c r="D647" t="s">
        <v>27</v>
      </c>
      <c r="E647">
        <v>71.400000000000006</v>
      </c>
      <c r="F647">
        <v>164.6</v>
      </c>
      <c r="G647" s="4">
        <f t="shared" si="20"/>
        <v>26.353515056936885</v>
      </c>
      <c r="H647" t="s">
        <v>41</v>
      </c>
      <c r="I647" t="s">
        <v>113</v>
      </c>
      <c r="J647">
        <v>137</v>
      </c>
      <c r="K647">
        <v>85</v>
      </c>
      <c r="L647">
        <v>82</v>
      </c>
      <c r="M647">
        <v>1</v>
      </c>
      <c r="N647" s="5">
        <v>3446.87</v>
      </c>
      <c r="O647" t="s">
        <v>63</v>
      </c>
      <c r="P647" t="str">
        <f t="shared" si="21"/>
        <v>Hospital Central de Nampula</v>
      </c>
      <c r="Q647" t="s">
        <v>202</v>
      </c>
      <c r="R647">
        <v>5</v>
      </c>
    </row>
    <row r="648" spans="1:18" x14ac:dyDescent="0.45">
      <c r="A648" t="s">
        <v>733</v>
      </c>
      <c r="B648" s="3">
        <v>45532</v>
      </c>
      <c r="C648">
        <v>57</v>
      </c>
      <c r="D648" t="s">
        <v>20</v>
      </c>
      <c r="E648">
        <v>47.5</v>
      </c>
      <c r="F648">
        <v>161.1</v>
      </c>
      <c r="G648" s="4">
        <f t="shared" si="20"/>
        <v>18.302167631672539</v>
      </c>
      <c r="H648" t="s">
        <v>46</v>
      </c>
      <c r="I648" t="s">
        <v>108</v>
      </c>
      <c r="J648">
        <v>136</v>
      </c>
      <c r="K648">
        <v>76</v>
      </c>
      <c r="L648">
        <v>118</v>
      </c>
      <c r="M648">
        <v>6</v>
      </c>
      <c r="N648" s="5">
        <v>16588.13</v>
      </c>
      <c r="O648" t="s">
        <v>67</v>
      </c>
      <c r="P648" t="str">
        <f t="shared" si="21"/>
        <v>Hospital Provincial de Pemba</v>
      </c>
      <c r="Q648" t="s">
        <v>24</v>
      </c>
      <c r="R648">
        <v>5</v>
      </c>
    </row>
    <row r="649" spans="1:18" x14ac:dyDescent="0.45">
      <c r="A649" t="s">
        <v>734</v>
      </c>
      <c r="B649" s="3">
        <v>45474</v>
      </c>
      <c r="C649">
        <v>25</v>
      </c>
      <c r="D649" t="s">
        <v>27</v>
      </c>
      <c r="E649">
        <v>74</v>
      </c>
      <c r="F649">
        <v>167.6</v>
      </c>
      <c r="G649" s="4">
        <f t="shared" si="20"/>
        <v>26.344119707679951</v>
      </c>
      <c r="H649" t="s">
        <v>41</v>
      </c>
      <c r="I649" t="s">
        <v>42</v>
      </c>
      <c r="J649">
        <v>109</v>
      </c>
      <c r="K649">
        <v>55</v>
      </c>
      <c r="L649">
        <v>90</v>
      </c>
      <c r="M649">
        <v>6</v>
      </c>
      <c r="N649" s="5">
        <v>19388.509999999998</v>
      </c>
      <c r="O649" t="s">
        <v>38</v>
      </c>
      <c r="P649" t="str">
        <f t="shared" si="21"/>
        <v>Hospital Provincial de Xai-Xai</v>
      </c>
      <c r="Q649" t="s">
        <v>24</v>
      </c>
      <c r="R649">
        <v>4</v>
      </c>
    </row>
    <row r="650" spans="1:18" x14ac:dyDescent="0.45">
      <c r="A650" t="s">
        <v>735</v>
      </c>
      <c r="B650" s="3">
        <v>45331</v>
      </c>
      <c r="C650">
        <v>40</v>
      </c>
      <c r="D650" t="s">
        <v>20</v>
      </c>
      <c r="E650">
        <v>73.099999999999994</v>
      </c>
      <c r="F650">
        <v>162.19999999999999</v>
      </c>
      <c r="G650" s="4">
        <f t="shared" si="20"/>
        <v>27.785337551940717</v>
      </c>
      <c r="H650" t="s">
        <v>55</v>
      </c>
      <c r="I650" t="s">
        <v>62</v>
      </c>
      <c r="J650">
        <v>104</v>
      </c>
      <c r="K650">
        <v>56</v>
      </c>
      <c r="L650">
        <v>105</v>
      </c>
      <c r="M650">
        <v>4</v>
      </c>
      <c r="N650" s="5">
        <v>16018.74</v>
      </c>
      <c r="O650" t="s">
        <v>43</v>
      </c>
      <c r="P650" t="str">
        <f t="shared" si="21"/>
        <v>Hospital Central da Beira</v>
      </c>
      <c r="Q650" t="s">
        <v>24</v>
      </c>
      <c r="R650">
        <v>1</v>
      </c>
    </row>
    <row r="651" spans="1:18" x14ac:dyDescent="0.45">
      <c r="A651" t="s">
        <v>736</v>
      </c>
      <c r="B651" s="3">
        <v>44964</v>
      </c>
      <c r="C651">
        <v>39</v>
      </c>
      <c r="D651" t="s">
        <v>27</v>
      </c>
      <c r="E651">
        <v>72.599999999999994</v>
      </c>
      <c r="F651">
        <v>153.1</v>
      </c>
      <c r="G651" s="4">
        <f t="shared" si="20"/>
        <v>30.973211585005043</v>
      </c>
      <c r="H651" t="s">
        <v>41</v>
      </c>
      <c r="I651" t="s">
        <v>113</v>
      </c>
      <c r="J651">
        <v>163</v>
      </c>
      <c r="K651">
        <v>107</v>
      </c>
      <c r="L651">
        <v>65</v>
      </c>
      <c r="M651">
        <v>2</v>
      </c>
      <c r="N651" s="5">
        <v>6025.71</v>
      </c>
      <c r="O651" t="s">
        <v>38</v>
      </c>
      <c r="P651" t="str">
        <f t="shared" si="21"/>
        <v>Hospital Provincial de Xai-Xai</v>
      </c>
      <c r="Q651" t="s">
        <v>24</v>
      </c>
      <c r="R651">
        <v>3</v>
      </c>
    </row>
    <row r="652" spans="1:18" x14ac:dyDescent="0.45">
      <c r="A652" t="s">
        <v>737</v>
      </c>
      <c r="B652" s="3">
        <v>45105</v>
      </c>
      <c r="C652">
        <v>20</v>
      </c>
      <c r="D652" t="s">
        <v>27</v>
      </c>
      <c r="E652">
        <v>81.400000000000006</v>
      </c>
      <c r="F652">
        <v>164.4</v>
      </c>
      <c r="G652" s="4">
        <f t="shared" si="20"/>
        <v>30.117628950811326</v>
      </c>
      <c r="H652" t="s">
        <v>99</v>
      </c>
      <c r="I652" t="s">
        <v>105</v>
      </c>
      <c r="J652">
        <v>113</v>
      </c>
      <c r="K652">
        <v>76</v>
      </c>
      <c r="L652">
        <v>73</v>
      </c>
      <c r="M652">
        <v>3</v>
      </c>
      <c r="N652" s="5">
        <v>7823.15</v>
      </c>
      <c r="O652" t="s">
        <v>36</v>
      </c>
      <c r="P652" t="str">
        <f t="shared" si="21"/>
        <v>Hospital Provincial de Lichinga</v>
      </c>
      <c r="Q652" t="s">
        <v>76</v>
      </c>
      <c r="R652">
        <v>1</v>
      </c>
    </row>
    <row r="653" spans="1:18" x14ac:dyDescent="0.45">
      <c r="A653" t="s">
        <v>738</v>
      </c>
      <c r="B653" s="3">
        <v>45288</v>
      </c>
      <c r="C653">
        <v>43</v>
      </c>
      <c r="D653" t="s">
        <v>20</v>
      </c>
      <c r="E653">
        <v>73</v>
      </c>
      <c r="F653">
        <v>171.3</v>
      </c>
      <c r="G653" s="4">
        <f t="shared" si="20"/>
        <v>24.877580154370495</v>
      </c>
      <c r="H653" t="s">
        <v>55</v>
      </c>
      <c r="I653" t="s">
        <v>62</v>
      </c>
      <c r="J653">
        <v>120</v>
      </c>
      <c r="K653">
        <v>75</v>
      </c>
      <c r="L653">
        <v>96</v>
      </c>
      <c r="M653">
        <v>7</v>
      </c>
      <c r="N653" s="5">
        <v>19585.68</v>
      </c>
      <c r="O653" t="s">
        <v>43</v>
      </c>
      <c r="P653" t="str">
        <f t="shared" si="21"/>
        <v>Hospital Central da Beira</v>
      </c>
      <c r="Q653" t="s">
        <v>24</v>
      </c>
      <c r="R653">
        <v>1</v>
      </c>
    </row>
    <row r="654" spans="1:18" x14ac:dyDescent="0.45">
      <c r="A654" t="s">
        <v>739</v>
      </c>
      <c r="B654" s="3">
        <v>45548</v>
      </c>
      <c r="C654">
        <v>59</v>
      </c>
      <c r="D654" t="s">
        <v>27</v>
      </c>
      <c r="E654">
        <v>57</v>
      </c>
      <c r="F654">
        <v>170</v>
      </c>
      <c r="G654" s="4">
        <f t="shared" si="20"/>
        <v>19.723183391003463</v>
      </c>
      <c r="H654" t="s">
        <v>91</v>
      </c>
      <c r="I654" t="s">
        <v>131</v>
      </c>
      <c r="J654">
        <v>132</v>
      </c>
      <c r="K654">
        <v>80</v>
      </c>
      <c r="L654">
        <v>108</v>
      </c>
      <c r="M654">
        <v>1</v>
      </c>
      <c r="N654" s="5">
        <v>3677.95</v>
      </c>
      <c r="O654" t="s">
        <v>23</v>
      </c>
      <c r="P654" t="str">
        <f t="shared" si="21"/>
        <v>Hospital Central de Maputo</v>
      </c>
      <c r="Q654" t="s">
        <v>24</v>
      </c>
      <c r="R654">
        <v>4</v>
      </c>
    </row>
    <row r="655" spans="1:18" x14ac:dyDescent="0.45">
      <c r="A655" t="s">
        <v>740</v>
      </c>
      <c r="B655" s="3">
        <v>45447</v>
      </c>
      <c r="C655">
        <v>41</v>
      </c>
      <c r="D655" t="s">
        <v>27</v>
      </c>
      <c r="E655">
        <v>61.3</v>
      </c>
      <c r="F655">
        <v>164.1</v>
      </c>
      <c r="G655" s="4">
        <f t="shared" si="20"/>
        <v>22.763724056131704</v>
      </c>
      <c r="H655" t="s">
        <v>34</v>
      </c>
      <c r="I655" t="s">
        <v>35</v>
      </c>
      <c r="J655">
        <v>114</v>
      </c>
      <c r="K655">
        <v>64</v>
      </c>
      <c r="L655">
        <v>97</v>
      </c>
      <c r="M655">
        <v>1</v>
      </c>
      <c r="N655" s="5">
        <v>4347.8900000000003</v>
      </c>
      <c r="O655" t="s">
        <v>52</v>
      </c>
      <c r="P655" t="str">
        <f t="shared" si="21"/>
        <v>Hospital Provincial de Chimoio</v>
      </c>
      <c r="Q655" t="s">
        <v>24</v>
      </c>
      <c r="R655">
        <v>4</v>
      </c>
    </row>
    <row r="656" spans="1:18" x14ac:dyDescent="0.45">
      <c r="A656" t="s">
        <v>741</v>
      </c>
      <c r="B656" s="3">
        <v>45355</v>
      </c>
      <c r="C656">
        <v>26</v>
      </c>
      <c r="D656" t="s">
        <v>27</v>
      </c>
      <c r="E656">
        <v>53</v>
      </c>
      <c r="F656">
        <v>152.69999999999999</v>
      </c>
      <c r="G656" s="4">
        <f t="shared" si="20"/>
        <v>22.729914153831775</v>
      </c>
      <c r="H656" t="s">
        <v>99</v>
      </c>
      <c r="I656" t="s">
        <v>105</v>
      </c>
      <c r="J656">
        <v>100</v>
      </c>
      <c r="K656">
        <v>61</v>
      </c>
      <c r="L656">
        <v>96</v>
      </c>
      <c r="M656">
        <v>9</v>
      </c>
      <c r="N656" s="5">
        <v>17980.689999999999</v>
      </c>
      <c r="O656" t="s">
        <v>36</v>
      </c>
      <c r="P656" t="str">
        <f t="shared" si="21"/>
        <v>Hospital Provincial de Lichinga</v>
      </c>
      <c r="Q656" t="s">
        <v>24</v>
      </c>
      <c r="R656">
        <v>4</v>
      </c>
    </row>
    <row r="657" spans="1:18" x14ac:dyDescent="0.45">
      <c r="A657" t="s">
        <v>742</v>
      </c>
      <c r="B657" s="3">
        <v>45045</v>
      </c>
      <c r="C657">
        <v>58</v>
      </c>
      <c r="D657" t="s">
        <v>20</v>
      </c>
      <c r="E657">
        <v>72.5</v>
      </c>
      <c r="F657">
        <v>157.6</v>
      </c>
      <c r="G657" s="4">
        <f t="shared" si="20"/>
        <v>29.18942771006726</v>
      </c>
      <c r="H657" t="s">
        <v>41</v>
      </c>
      <c r="I657" t="s">
        <v>161</v>
      </c>
      <c r="J657">
        <v>96</v>
      </c>
      <c r="K657">
        <v>59</v>
      </c>
      <c r="L657">
        <v>77</v>
      </c>
      <c r="M657">
        <v>2</v>
      </c>
      <c r="N657" s="5">
        <v>6091.67</v>
      </c>
      <c r="O657" t="s">
        <v>63</v>
      </c>
      <c r="P657" t="str">
        <f t="shared" si="21"/>
        <v>Hospital Central de Nampula</v>
      </c>
      <c r="Q657" t="s">
        <v>24</v>
      </c>
      <c r="R657">
        <v>4</v>
      </c>
    </row>
    <row r="658" spans="1:18" x14ac:dyDescent="0.45">
      <c r="A658" t="s">
        <v>743</v>
      </c>
      <c r="B658" s="3">
        <v>45344</v>
      </c>
      <c r="C658">
        <v>18</v>
      </c>
      <c r="D658" t="s">
        <v>20</v>
      </c>
      <c r="E658">
        <v>69</v>
      </c>
      <c r="F658">
        <v>160.5</v>
      </c>
      <c r="G658" s="4">
        <f t="shared" si="20"/>
        <v>26.785454333711822</v>
      </c>
      <c r="H658" t="s">
        <v>55</v>
      </c>
      <c r="I658" t="s">
        <v>62</v>
      </c>
      <c r="J658">
        <v>95</v>
      </c>
      <c r="K658">
        <v>62</v>
      </c>
      <c r="L658">
        <v>100</v>
      </c>
      <c r="M658">
        <v>8</v>
      </c>
      <c r="N658" s="5">
        <v>13502.86</v>
      </c>
      <c r="O658" t="s">
        <v>43</v>
      </c>
      <c r="P658" t="str">
        <f t="shared" si="21"/>
        <v>Hospital Central da Beira</v>
      </c>
      <c r="Q658" t="s">
        <v>24</v>
      </c>
      <c r="R658">
        <v>4</v>
      </c>
    </row>
    <row r="659" spans="1:18" x14ac:dyDescent="0.45">
      <c r="A659" t="s">
        <v>744</v>
      </c>
      <c r="B659" s="3">
        <v>45494</v>
      </c>
      <c r="C659">
        <v>53</v>
      </c>
      <c r="D659" t="s">
        <v>27</v>
      </c>
      <c r="E659">
        <v>47.4</v>
      </c>
      <c r="F659">
        <v>174.6</v>
      </c>
      <c r="G659" s="4">
        <f t="shared" si="20"/>
        <v>15.548548867711371</v>
      </c>
      <c r="H659" t="s">
        <v>46</v>
      </c>
      <c r="I659" t="s">
        <v>94</v>
      </c>
      <c r="J659">
        <v>128</v>
      </c>
      <c r="K659">
        <v>79</v>
      </c>
      <c r="L659">
        <v>110</v>
      </c>
      <c r="M659">
        <v>3</v>
      </c>
      <c r="N659" s="5">
        <v>7287.3</v>
      </c>
      <c r="O659" t="s">
        <v>23</v>
      </c>
      <c r="P659" t="str">
        <f t="shared" si="21"/>
        <v>Hospital Central de Maputo</v>
      </c>
      <c r="Q659" t="s">
        <v>24</v>
      </c>
      <c r="R659">
        <v>3</v>
      </c>
    </row>
    <row r="660" spans="1:18" x14ac:dyDescent="0.45">
      <c r="A660" t="s">
        <v>745</v>
      </c>
      <c r="B660" s="3">
        <v>45227</v>
      </c>
      <c r="C660">
        <v>47</v>
      </c>
      <c r="D660" t="s">
        <v>20</v>
      </c>
      <c r="E660">
        <v>55</v>
      </c>
      <c r="F660">
        <v>152.5</v>
      </c>
      <c r="G660" s="4">
        <f t="shared" si="20"/>
        <v>23.649556570814301</v>
      </c>
      <c r="H660" t="s">
        <v>91</v>
      </c>
      <c r="I660" t="s">
        <v>116</v>
      </c>
      <c r="J660">
        <v>122</v>
      </c>
      <c r="K660">
        <v>75</v>
      </c>
      <c r="L660">
        <v>89</v>
      </c>
      <c r="M660">
        <v>2</v>
      </c>
      <c r="N660" s="5">
        <v>5675.06</v>
      </c>
      <c r="O660" t="s">
        <v>63</v>
      </c>
      <c r="P660" t="str">
        <f t="shared" si="21"/>
        <v>Hospital Central de Nampula</v>
      </c>
      <c r="Q660" t="s">
        <v>24</v>
      </c>
      <c r="R660">
        <v>4</v>
      </c>
    </row>
    <row r="661" spans="1:18" x14ac:dyDescent="0.45">
      <c r="A661" t="s">
        <v>746</v>
      </c>
      <c r="B661" s="3">
        <v>45064</v>
      </c>
      <c r="C661">
        <v>22</v>
      </c>
      <c r="D661" t="s">
        <v>20</v>
      </c>
      <c r="E661">
        <v>65.2</v>
      </c>
      <c r="F661">
        <v>163.6</v>
      </c>
      <c r="G661" s="4">
        <f t="shared" si="20"/>
        <v>24.360208272308274</v>
      </c>
      <c r="H661" t="s">
        <v>46</v>
      </c>
      <c r="I661" t="s">
        <v>47</v>
      </c>
      <c r="J661">
        <v>93</v>
      </c>
      <c r="K661">
        <v>55</v>
      </c>
      <c r="L661">
        <v>73</v>
      </c>
      <c r="M661">
        <v>1</v>
      </c>
      <c r="N661" s="5">
        <v>4027.66</v>
      </c>
      <c r="O661" t="s">
        <v>63</v>
      </c>
      <c r="P661" t="str">
        <f t="shared" si="21"/>
        <v>Hospital Central de Nampula</v>
      </c>
      <c r="Q661" t="s">
        <v>24</v>
      </c>
      <c r="R661">
        <v>4</v>
      </c>
    </row>
    <row r="662" spans="1:18" x14ac:dyDescent="0.45">
      <c r="A662" t="s">
        <v>747</v>
      </c>
      <c r="B662" s="3">
        <v>44976</v>
      </c>
      <c r="C662">
        <v>12</v>
      </c>
      <c r="D662" t="s">
        <v>27</v>
      </c>
      <c r="E662">
        <v>65.400000000000006</v>
      </c>
      <c r="F662">
        <v>165.3</v>
      </c>
      <c r="G662" s="4">
        <f t="shared" si="20"/>
        <v>23.934923358838301</v>
      </c>
      <c r="H662" t="s">
        <v>28</v>
      </c>
      <c r="I662" t="s">
        <v>50</v>
      </c>
      <c r="J662">
        <v>85</v>
      </c>
      <c r="K662">
        <v>66</v>
      </c>
      <c r="L662">
        <v>98</v>
      </c>
      <c r="M662">
        <v>8</v>
      </c>
      <c r="N662" s="5">
        <v>22584.79</v>
      </c>
      <c r="O662" t="s">
        <v>38</v>
      </c>
      <c r="P662" t="str">
        <f t="shared" si="21"/>
        <v>Hospital Provincial de Xai-Xai</v>
      </c>
      <c r="Q662" t="s">
        <v>37</v>
      </c>
      <c r="R662">
        <v>4</v>
      </c>
    </row>
    <row r="663" spans="1:18" x14ac:dyDescent="0.45">
      <c r="A663" t="s">
        <v>748</v>
      </c>
      <c r="B663" s="3">
        <v>45282</v>
      </c>
      <c r="C663">
        <v>9</v>
      </c>
      <c r="D663" t="s">
        <v>27</v>
      </c>
      <c r="E663">
        <v>24.6</v>
      </c>
      <c r="F663">
        <v>88</v>
      </c>
      <c r="G663" s="4">
        <f t="shared" si="20"/>
        <v>31.766528925619838</v>
      </c>
      <c r="H663" t="s">
        <v>28</v>
      </c>
      <c r="I663" t="s">
        <v>50</v>
      </c>
      <c r="J663">
        <v>117</v>
      </c>
      <c r="K663">
        <v>84</v>
      </c>
      <c r="L663">
        <v>85</v>
      </c>
      <c r="M663">
        <v>1</v>
      </c>
      <c r="N663" s="5">
        <v>2896.6</v>
      </c>
      <c r="O663" t="s">
        <v>23</v>
      </c>
      <c r="P663" t="str">
        <f t="shared" si="21"/>
        <v>Hospital Central de Maputo</v>
      </c>
      <c r="Q663" t="s">
        <v>24</v>
      </c>
      <c r="R663">
        <v>4</v>
      </c>
    </row>
    <row r="664" spans="1:18" x14ac:dyDescent="0.45">
      <c r="A664" t="s">
        <v>749</v>
      </c>
      <c r="B664" s="3">
        <v>45099</v>
      </c>
      <c r="C664">
        <v>61</v>
      </c>
      <c r="D664" t="s">
        <v>20</v>
      </c>
      <c r="E664">
        <v>60.3</v>
      </c>
      <c r="F664">
        <v>173.9</v>
      </c>
      <c r="G664" s="4">
        <f t="shared" si="20"/>
        <v>19.939678339590245</v>
      </c>
      <c r="H664" t="s">
        <v>55</v>
      </c>
      <c r="I664" t="s">
        <v>80</v>
      </c>
      <c r="J664">
        <v>124</v>
      </c>
      <c r="K664">
        <v>76</v>
      </c>
      <c r="L664">
        <v>94</v>
      </c>
      <c r="M664">
        <v>1</v>
      </c>
      <c r="N664" s="5">
        <v>6936.77</v>
      </c>
      <c r="O664" t="s">
        <v>51</v>
      </c>
      <c r="P664" t="str">
        <f t="shared" si="21"/>
        <v>Hospital Central de Quelimane</v>
      </c>
      <c r="Q664" t="s">
        <v>24</v>
      </c>
      <c r="R664">
        <v>5</v>
      </c>
    </row>
    <row r="665" spans="1:18" x14ac:dyDescent="0.45">
      <c r="A665" t="s">
        <v>750</v>
      </c>
      <c r="B665" s="3">
        <v>45229</v>
      </c>
      <c r="C665">
        <v>34</v>
      </c>
      <c r="D665" t="s">
        <v>20</v>
      </c>
      <c r="E665">
        <v>68.400000000000006</v>
      </c>
      <c r="F665">
        <v>154</v>
      </c>
      <c r="G665" s="4">
        <f t="shared" si="20"/>
        <v>28.841288581548326</v>
      </c>
      <c r="H665" t="s">
        <v>46</v>
      </c>
      <c r="I665" t="s">
        <v>47</v>
      </c>
      <c r="J665">
        <v>111</v>
      </c>
      <c r="K665">
        <v>80</v>
      </c>
      <c r="L665">
        <v>118</v>
      </c>
      <c r="M665">
        <v>1</v>
      </c>
      <c r="N665" s="5">
        <v>2558.67</v>
      </c>
      <c r="O665" t="s">
        <v>63</v>
      </c>
      <c r="P665" t="str">
        <f t="shared" si="21"/>
        <v>Hospital Central de Nampula</v>
      </c>
      <c r="Q665" t="s">
        <v>24</v>
      </c>
      <c r="R665">
        <v>4</v>
      </c>
    </row>
    <row r="666" spans="1:18" x14ac:dyDescent="0.45">
      <c r="A666" t="s">
        <v>751</v>
      </c>
      <c r="B666" s="3">
        <v>45446</v>
      </c>
      <c r="C666">
        <v>16</v>
      </c>
      <c r="D666" t="s">
        <v>27</v>
      </c>
      <c r="E666">
        <v>61.2</v>
      </c>
      <c r="F666">
        <v>162.4</v>
      </c>
      <c r="G666" s="4">
        <f t="shared" si="20"/>
        <v>23.204882428595695</v>
      </c>
      <c r="H666" t="s">
        <v>28</v>
      </c>
      <c r="I666" t="s">
        <v>29</v>
      </c>
      <c r="J666">
        <v>96</v>
      </c>
      <c r="K666">
        <v>65</v>
      </c>
      <c r="L666">
        <v>78</v>
      </c>
      <c r="M666">
        <v>10</v>
      </c>
      <c r="N666" s="5">
        <v>28850.87</v>
      </c>
      <c r="O666" t="s">
        <v>63</v>
      </c>
      <c r="P666" t="str">
        <f t="shared" si="21"/>
        <v>Hospital Central de Nampula</v>
      </c>
      <c r="Q666" t="s">
        <v>24</v>
      </c>
      <c r="R666">
        <v>5</v>
      </c>
    </row>
    <row r="667" spans="1:18" x14ac:dyDescent="0.45">
      <c r="A667" t="s">
        <v>752</v>
      </c>
      <c r="B667" s="3">
        <v>44963</v>
      </c>
      <c r="C667">
        <v>12</v>
      </c>
      <c r="D667" t="s">
        <v>20</v>
      </c>
      <c r="E667">
        <v>55.6</v>
      </c>
      <c r="F667">
        <v>159.69999999999999</v>
      </c>
      <c r="G667" s="4">
        <f t="shared" si="20"/>
        <v>21.800424951448967</v>
      </c>
      <c r="H667" t="s">
        <v>28</v>
      </c>
      <c r="I667" t="s">
        <v>75</v>
      </c>
      <c r="J667">
        <v>117</v>
      </c>
      <c r="K667">
        <v>81</v>
      </c>
      <c r="L667">
        <v>85</v>
      </c>
      <c r="M667">
        <v>1</v>
      </c>
      <c r="N667" s="5">
        <v>6462.07</v>
      </c>
      <c r="O667" t="s">
        <v>63</v>
      </c>
      <c r="P667" t="str">
        <f t="shared" si="21"/>
        <v>Hospital Central de Nampula</v>
      </c>
      <c r="Q667" t="s">
        <v>24</v>
      </c>
      <c r="R667">
        <v>1</v>
      </c>
    </row>
    <row r="668" spans="1:18" x14ac:dyDescent="0.45">
      <c r="A668" t="s">
        <v>753</v>
      </c>
      <c r="B668" s="3">
        <v>44995</v>
      </c>
      <c r="C668">
        <v>24</v>
      </c>
      <c r="D668" t="s">
        <v>27</v>
      </c>
      <c r="E668">
        <v>60.7</v>
      </c>
      <c r="F668">
        <v>162.4</v>
      </c>
      <c r="G668" s="4">
        <f t="shared" si="20"/>
        <v>23.01530005581305</v>
      </c>
      <c r="H668" t="s">
        <v>55</v>
      </c>
      <c r="I668" t="s">
        <v>197</v>
      </c>
      <c r="J668">
        <v>103</v>
      </c>
      <c r="K668">
        <v>56</v>
      </c>
      <c r="L668">
        <v>79</v>
      </c>
      <c r="M668">
        <v>1</v>
      </c>
      <c r="N668" s="5">
        <v>7178.5</v>
      </c>
      <c r="O668" t="s">
        <v>63</v>
      </c>
      <c r="P668" t="str">
        <f t="shared" si="21"/>
        <v>Hospital Central de Nampula</v>
      </c>
      <c r="Q668" t="s">
        <v>37</v>
      </c>
      <c r="R668">
        <v>5</v>
      </c>
    </row>
    <row r="669" spans="1:18" x14ac:dyDescent="0.45">
      <c r="A669" t="s">
        <v>754</v>
      </c>
      <c r="B669" s="3">
        <v>45611</v>
      </c>
      <c r="C669">
        <v>28</v>
      </c>
      <c r="D669" t="s">
        <v>27</v>
      </c>
      <c r="E669">
        <v>55.3</v>
      </c>
      <c r="F669">
        <v>153.80000000000001</v>
      </c>
      <c r="G669" s="4">
        <f t="shared" si="20"/>
        <v>23.378274860871784</v>
      </c>
      <c r="H669" t="s">
        <v>41</v>
      </c>
      <c r="I669" t="s">
        <v>161</v>
      </c>
      <c r="J669">
        <v>108</v>
      </c>
      <c r="K669">
        <v>71</v>
      </c>
      <c r="L669">
        <v>126</v>
      </c>
      <c r="M669">
        <v>5</v>
      </c>
      <c r="N669" s="5">
        <v>11311.57</v>
      </c>
      <c r="O669" t="s">
        <v>38</v>
      </c>
      <c r="P669" t="str">
        <f t="shared" si="21"/>
        <v>Hospital Provincial de Xai-Xai</v>
      </c>
      <c r="Q669" t="s">
        <v>24</v>
      </c>
      <c r="R669">
        <v>3</v>
      </c>
    </row>
    <row r="670" spans="1:18" x14ac:dyDescent="0.45">
      <c r="A670" t="s">
        <v>755</v>
      </c>
      <c r="B670" s="3">
        <v>45253</v>
      </c>
      <c r="C670">
        <v>29</v>
      </c>
      <c r="D670" t="s">
        <v>20</v>
      </c>
      <c r="E670">
        <v>44.1</v>
      </c>
      <c r="F670">
        <v>158.69999999999999</v>
      </c>
      <c r="G670" s="4">
        <f t="shared" si="20"/>
        <v>17.509943146286641</v>
      </c>
      <c r="H670" t="s">
        <v>91</v>
      </c>
      <c r="I670" t="s">
        <v>131</v>
      </c>
      <c r="J670">
        <v>90</v>
      </c>
      <c r="K670">
        <v>56</v>
      </c>
      <c r="L670">
        <v>70</v>
      </c>
      <c r="M670">
        <v>1</v>
      </c>
      <c r="N670" s="5">
        <v>3742.35</v>
      </c>
      <c r="O670" t="s">
        <v>63</v>
      </c>
      <c r="P670" t="str">
        <f t="shared" si="21"/>
        <v>Hospital Central de Nampula</v>
      </c>
      <c r="Q670" t="s">
        <v>37</v>
      </c>
      <c r="R670">
        <v>2</v>
      </c>
    </row>
    <row r="671" spans="1:18" x14ac:dyDescent="0.45">
      <c r="A671" t="s">
        <v>756</v>
      </c>
      <c r="B671" s="3">
        <v>45257</v>
      </c>
      <c r="C671">
        <v>39</v>
      </c>
      <c r="D671" t="s">
        <v>27</v>
      </c>
      <c r="E671">
        <v>72.2</v>
      </c>
      <c r="F671">
        <v>155.5</v>
      </c>
      <c r="G671" s="4">
        <f t="shared" si="20"/>
        <v>29.859079207204232</v>
      </c>
      <c r="H671" t="s">
        <v>46</v>
      </c>
      <c r="I671" t="s">
        <v>66</v>
      </c>
      <c r="J671">
        <v>94</v>
      </c>
      <c r="K671">
        <v>66</v>
      </c>
      <c r="L671">
        <v>86</v>
      </c>
      <c r="M671">
        <v>1</v>
      </c>
      <c r="N671" s="5">
        <v>4338.99</v>
      </c>
      <c r="O671" t="s">
        <v>43</v>
      </c>
      <c r="P671" t="str">
        <f t="shared" si="21"/>
        <v>Hospital Central da Beira</v>
      </c>
      <c r="Q671" t="s">
        <v>24</v>
      </c>
      <c r="R671">
        <v>3</v>
      </c>
    </row>
    <row r="672" spans="1:18" x14ac:dyDescent="0.45">
      <c r="A672" t="s">
        <v>757</v>
      </c>
      <c r="B672" s="3">
        <v>45138</v>
      </c>
      <c r="C672">
        <v>65</v>
      </c>
      <c r="D672" t="s">
        <v>20</v>
      </c>
      <c r="E672">
        <v>74.8</v>
      </c>
      <c r="F672">
        <v>170.7</v>
      </c>
      <c r="G672" s="4">
        <f t="shared" si="20"/>
        <v>25.670513468611453</v>
      </c>
      <c r="H672" t="s">
        <v>34</v>
      </c>
      <c r="I672" t="s">
        <v>126</v>
      </c>
      <c r="J672">
        <v>128</v>
      </c>
      <c r="K672">
        <v>78</v>
      </c>
      <c r="L672">
        <v>69</v>
      </c>
      <c r="M672">
        <v>1</v>
      </c>
      <c r="N672" s="5">
        <v>4685.8500000000004</v>
      </c>
      <c r="O672" t="s">
        <v>23</v>
      </c>
      <c r="P672" t="str">
        <f t="shared" si="21"/>
        <v>Hospital Central de Maputo</v>
      </c>
      <c r="Q672" t="s">
        <v>24</v>
      </c>
      <c r="R672">
        <v>3</v>
      </c>
    </row>
    <row r="673" spans="1:18" x14ac:dyDescent="0.45">
      <c r="A673" t="s">
        <v>758</v>
      </c>
      <c r="B673" s="3">
        <v>45475</v>
      </c>
      <c r="C673">
        <v>58</v>
      </c>
      <c r="D673" t="s">
        <v>20</v>
      </c>
      <c r="E673">
        <v>57.3</v>
      </c>
      <c r="F673">
        <v>167.1</v>
      </c>
      <c r="G673" s="4">
        <f t="shared" si="20"/>
        <v>20.521151290307674</v>
      </c>
      <c r="H673" t="s">
        <v>34</v>
      </c>
      <c r="I673" t="s">
        <v>35</v>
      </c>
      <c r="J673">
        <v>131</v>
      </c>
      <c r="K673">
        <v>68</v>
      </c>
      <c r="L673">
        <v>85</v>
      </c>
      <c r="M673">
        <v>5</v>
      </c>
      <c r="N673" s="5">
        <v>16021.99</v>
      </c>
      <c r="O673" t="s">
        <v>23</v>
      </c>
      <c r="P673" t="str">
        <f t="shared" si="21"/>
        <v>Hospital Central de Maputo</v>
      </c>
      <c r="Q673" t="s">
        <v>202</v>
      </c>
      <c r="R673">
        <v>3</v>
      </c>
    </row>
    <row r="674" spans="1:18" x14ac:dyDescent="0.45">
      <c r="A674" t="s">
        <v>759</v>
      </c>
      <c r="B674" s="3">
        <v>45334</v>
      </c>
      <c r="C674">
        <v>48</v>
      </c>
      <c r="D674" t="s">
        <v>27</v>
      </c>
      <c r="E674">
        <v>72.2</v>
      </c>
      <c r="F674">
        <v>160.9</v>
      </c>
      <c r="G674" s="4">
        <f t="shared" si="20"/>
        <v>27.888496999282705</v>
      </c>
      <c r="H674" t="s">
        <v>21</v>
      </c>
      <c r="I674" t="s">
        <v>123</v>
      </c>
      <c r="J674">
        <v>120</v>
      </c>
      <c r="K674">
        <v>69</v>
      </c>
      <c r="L674">
        <v>89</v>
      </c>
      <c r="M674">
        <v>6</v>
      </c>
      <c r="N674" s="5">
        <v>15449.51</v>
      </c>
      <c r="O674" t="s">
        <v>51</v>
      </c>
      <c r="P674" t="str">
        <f t="shared" si="21"/>
        <v>Hospital Central de Quelimane</v>
      </c>
      <c r="Q674" t="s">
        <v>24</v>
      </c>
      <c r="R674">
        <v>2</v>
      </c>
    </row>
    <row r="675" spans="1:18" x14ac:dyDescent="0.45">
      <c r="A675" t="s">
        <v>760</v>
      </c>
      <c r="B675" s="3">
        <v>45002</v>
      </c>
      <c r="C675">
        <v>46</v>
      </c>
      <c r="D675" t="s">
        <v>27</v>
      </c>
      <c r="E675">
        <v>73</v>
      </c>
      <c r="F675">
        <v>172.9</v>
      </c>
      <c r="G675" s="4">
        <f t="shared" si="20"/>
        <v>24.419281062914436</v>
      </c>
      <c r="H675" t="s">
        <v>21</v>
      </c>
      <c r="I675" t="s">
        <v>70</v>
      </c>
      <c r="J675">
        <v>100</v>
      </c>
      <c r="K675">
        <v>69</v>
      </c>
      <c r="L675">
        <v>120</v>
      </c>
      <c r="M675">
        <v>2</v>
      </c>
      <c r="N675" s="5">
        <v>6756.7</v>
      </c>
      <c r="O675" t="s">
        <v>43</v>
      </c>
      <c r="P675" t="str">
        <f t="shared" si="21"/>
        <v>Hospital Central da Beira</v>
      </c>
      <c r="Q675" t="s">
        <v>24</v>
      </c>
      <c r="R675">
        <v>5</v>
      </c>
    </row>
    <row r="676" spans="1:18" x14ac:dyDescent="0.45">
      <c r="A676" t="s">
        <v>761</v>
      </c>
      <c r="B676" s="3">
        <v>45517</v>
      </c>
      <c r="C676">
        <v>18</v>
      </c>
      <c r="D676" t="s">
        <v>27</v>
      </c>
      <c r="E676">
        <v>81.3</v>
      </c>
      <c r="F676">
        <v>182.6</v>
      </c>
      <c r="G676" s="4">
        <f t="shared" si="20"/>
        <v>24.383104458059265</v>
      </c>
      <c r="H676" t="s">
        <v>91</v>
      </c>
      <c r="I676" t="s">
        <v>131</v>
      </c>
      <c r="J676">
        <v>94</v>
      </c>
      <c r="K676">
        <v>55</v>
      </c>
      <c r="L676">
        <v>106</v>
      </c>
      <c r="M676">
        <v>1</v>
      </c>
      <c r="N676" s="5">
        <v>3080.4</v>
      </c>
      <c r="O676" t="s">
        <v>43</v>
      </c>
      <c r="P676" t="str">
        <f t="shared" si="21"/>
        <v>Hospital Central da Beira</v>
      </c>
      <c r="Q676" t="s">
        <v>24</v>
      </c>
      <c r="R676">
        <v>4</v>
      </c>
    </row>
    <row r="677" spans="1:18" x14ac:dyDescent="0.45">
      <c r="A677" t="s">
        <v>762</v>
      </c>
      <c r="B677" s="3">
        <v>45037</v>
      </c>
      <c r="C677">
        <v>0</v>
      </c>
      <c r="D677" t="s">
        <v>27</v>
      </c>
      <c r="E677">
        <v>25.4</v>
      </c>
      <c r="F677">
        <v>88.8</v>
      </c>
      <c r="G677" s="4">
        <f t="shared" si="20"/>
        <v>32.211265319373425</v>
      </c>
      <c r="H677" t="s">
        <v>28</v>
      </c>
      <c r="I677" t="s">
        <v>73</v>
      </c>
      <c r="J677">
        <v>87</v>
      </c>
      <c r="K677">
        <v>55</v>
      </c>
      <c r="L677">
        <v>87</v>
      </c>
      <c r="M677">
        <v>1</v>
      </c>
      <c r="N677" s="5">
        <v>3783.41</v>
      </c>
      <c r="O677" t="s">
        <v>23</v>
      </c>
      <c r="P677" t="str">
        <f t="shared" si="21"/>
        <v>Hospital Central de Maputo</v>
      </c>
      <c r="Q677" t="s">
        <v>24</v>
      </c>
      <c r="R677">
        <v>3</v>
      </c>
    </row>
    <row r="678" spans="1:18" x14ac:dyDescent="0.45">
      <c r="A678" t="s">
        <v>763</v>
      </c>
      <c r="B678" s="3">
        <v>45428</v>
      </c>
      <c r="C678">
        <v>18</v>
      </c>
      <c r="D678" t="s">
        <v>20</v>
      </c>
      <c r="E678">
        <v>77</v>
      </c>
      <c r="F678">
        <v>172.8</v>
      </c>
      <c r="G678" s="4">
        <f t="shared" si="20"/>
        <v>25.78714420438957</v>
      </c>
      <c r="H678" t="s">
        <v>21</v>
      </c>
      <c r="I678" t="s">
        <v>70</v>
      </c>
      <c r="J678">
        <v>112</v>
      </c>
      <c r="K678">
        <v>61</v>
      </c>
      <c r="L678">
        <v>113</v>
      </c>
      <c r="M678">
        <v>7</v>
      </c>
      <c r="N678" s="5">
        <v>9623.7000000000007</v>
      </c>
      <c r="O678" t="s">
        <v>57</v>
      </c>
      <c r="P678" t="str">
        <f t="shared" si="21"/>
        <v>Hospital Provincial de Tete</v>
      </c>
      <c r="Q678" t="s">
        <v>37</v>
      </c>
      <c r="R678">
        <v>3</v>
      </c>
    </row>
    <row r="679" spans="1:18" x14ac:dyDescent="0.45">
      <c r="A679" t="s">
        <v>764</v>
      </c>
      <c r="B679" s="3">
        <v>45141</v>
      </c>
      <c r="C679">
        <v>28</v>
      </c>
      <c r="D679" t="s">
        <v>27</v>
      </c>
      <c r="E679">
        <v>50.6</v>
      </c>
      <c r="F679">
        <v>175.1</v>
      </c>
      <c r="G679" s="4">
        <f t="shared" si="20"/>
        <v>16.503582353691343</v>
      </c>
      <c r="H679" t="s">
        <v>55</v>
      </c>
      <c r="I679" t="s">
        <v>62</v>
      </c>
      <c r="J679">
        <v>114</v>
      </c>
      <c r="K679">
        <v>61</v>
      </c>
      <c r="L679">
        <v>78</v>
      </c>
      <c r="M679">
        <v>5</v>
      </c>
      <c r="N679" s="5">
        <v>18513.830000000002</v>
      </c>
      <c r="O679" t="s">
        <v>23</v>
      </c>
      <c r="P679" t="str">
        <f t="shared" si="21"/>
        <v>Hospital Central de Maputo</v>
      </c>
      <c r="Q679" t="s">
        <v>24</v>
      </c>
      <c r="R679">
        <v>1</v>
      </c>
    </row>
    <row r="680" spans="1:18" x14ac:dyDescent="0.45">
      <c r="A680" t="s">
        <v>765</v>
      </c>
      <c r="B680" s="3">
        <v>45459</v>
      </c>
      <c r="C680">
        <v>14</v>
      </c>
      <c r="D680" t="s">
        <v>20</v>
      </c>
      <c r="E680">
        <v>67.099999999999994</v>
      </c>
      <c r="F680">
        <v>172.2</v>
      </c>
      <c r="G680" s="4">
        <f t="shared" si="20"/>
        <v>22.628523945767082</v>
      </c>
      <c r="H680" t="s">
        <v>28</v>
      </c>
      <c r="I680" t="s">
        <v>29</v>
      </c>
      <c r="J680">
        <v>115</v>
      </c>
      <c r="K680">
        <v>80</v>
      </c>
      <c r="L680">
        <v>65</v>
      </c>
      <c r="M680">
        <v>3</v>
      </c>
      <c r="N680" s="5">
        <v>6975.83</v>
      </c>
      <c r="O680" t="s">
        <v>43</v>
      </c>
      <c r="P680" t="str">
        <f t="shared" si="21"/>
        <v>Hospital Central da Beira</v>
      </c>
      <c r="Q680" t="s">
        <v>24</v>
      </c>
      <c r="R680">
        <v>5</v>
      </c>
    </row>
    <row r="681" spans="1:18" x14ac:dyDescent="0.45">
      <c r="A681" t="s">
        <v>766</v>
      </c>
      <c r="B681" s="3">
        <v>45619</v>
      </c>
      <c r="C681">
        <v>40</v>
      </c>
      <c r="D681" t="s">
        <v>27</v>
      </c>
      <c r="E681">
        <v>61.2</v>
      </c>
      <c r="F681">
        <v>158</v>
      </c>
      <c r="G681" s="4">
        <f t="shared" si="20"/>
        <v>24.515302034930297</v>
      </c>
      <c r="H681" t="s">
        <v>41</v>
      </c>
      <c r="I681" t="s">
        <v>42</v>
      </c>
      <c r="J681">
        <v>111</v>
      </c>
      <c r="K681">
        <v>77</v>
      </c>
      <c r="L681">
        <v>104</v>
      </c>
      <c r="M681">
        <v>1</v>
      </c>
      <c r="N681" s="5">
        <v>4353.93</v>
      </c>
      <c r="O681" t="s">
        <v>31</v>
      </c>
      <c r="P681" t="str">
        <f t="shared" si="21"/>
        <v>Hospital Provincial da Matola</v>
      </c>
      <c r="Q681" t="s">
        <v>24</v>
      </c>
      <c r="R681">
        <v>5</v>
      </c>
    </row>
    <row r="682" spans="1:18" x14ac:dyDescent="0.45">
      <c r="A682" t="s">
        <v>767</v>
      </c>
      <c r="B682" s="3">
        <v>45065</v>
      </c>
      <c r="C682">
        <v>18</v>
      </c>
      <c r="D682" t="s">
        <v>20</v>
      </c>
      <c r="E682">
        <v>64.8</v>
      </c>
      <c r="F682">
        <v>172.3</v>
      </c>
      <c r="G682" s="4">
        <f t="shared" si="20"/>
        <v>21.827522822056171</v>
      </c>
      <c r="H682" t="s">
        <v>41</v>
      </c>
      <c r="I682" t="s">
        <v>161</v>
      </c>
      <c r="J682">
        <v>109</v>
      </c>
      <c r="K682">
        <v>69</v>
      </c>
      <c r="L682">
        <v>103</v>
      </c>
      <c r="M682">
        <v>1</v>
      </c>
      <c r="N682" s="5">
        <v>4763.2700000000004</v>
      </c>
      <c r="O682" t="s">
        <v>30</v>
      </c>
      <c r="P682" t="str">
        <f t="shared" si="21"/>
        <v>Hospital Provincial de Inhambane</v>
      </c>
      <c r="Q682" t="s">
        <v>24</v>
      </c>
      <c r="R682">
        <v>4</v>
      </c>
    </row>
    <row r="683" spans="1:18" x14ac:dyDescent="0.45">
      <c r="A683" t="s">
        <v>768</v>
      </c>
      <c r="B683" s="3">
        <v>45087</v>
      </c>
      <c r="C683">
        <v>35</v>
      </c>
      <c r="D683" t="s">
        <v>20</v>
      </c>
      <c r="E683">
        <v>65.7</v>
      </c>
      <c r="F683">
        <v>162.1</v>
      </c>
      <c r="G683" s="4">
        <f t="shared" si="20"/>
        <v>25.003415611188895</v>
      </c>
      <c r="H683" t="s">
        <v>91</v>
      </c>
      <c r="I683" t="s">
        <v>110</v>
      </c>
      <c r="J683">
        <v>117</v>
      </c>
      <c r="K683">
        <v>77</v>
      </c>
      <c r="L683">
        <v>105</v>
      </c>
      <c r="M683">
        <v>5</v>
      </c>
      <c r="N683" s="5">
        <v>11701.33</v>
      </c>
      <c r="O683" t="s">
        <v>67</v>
      </c>
      <c r="P683" t="str">
        <f t="shared" si="21"/>
        <v>Hospital Provincial de Pemba</v>
      </c>
      <c r="Q683" t="s">
        <v>24</v>
      </c>
      <c r="R683">
        <v>4</v>
      </c>
    </row>
    <row r="684" spans="1:18" x14ac:dyDescent="0.45">
      <c r="A684" t="s">
        <v>769</v>
      </c>
      <c r="B684" s="3">
        <v>45134</v>
      </c>
      <c r="C684">
        <v>28</v>
      </c>
      <c r="D684" t="s">
        <v>20</v>
      </c>
      <c r="E684">
        <v>54.3</v>
      </c>
      <c r="F684">
        <v>162.1</v>
      </c>
      <c r="G684" s="4">
        <f t="shared" si="20"/>
        <v>20.664923404681232</v>
      </c>
      <c r="H684" t="s">
        <v>55</v>
      </c>
      <c r="I684" t="s">
        <v>80</v>
      </c>
      <c r="J684">
        <v>110</v>
      </c>
      <c r="K684">
        <v>70</v>
      </c>
      <c r="L684">
        <v>95</v>
      </c>
      <c r="M684">
        <v>5</v>
      </c>
      <c r="N684" s="5">
        <v>12789.98</v>
      </c>
      <c r="O684" t="s">
        <v>57</v>
      </c>
      <c r="P684" t="str">
        <f t="shared" si="21"/>
        <v>Hospital Provincial de Tete</v>
      </c>
      <c r="Q684" t="s">
        <v>24</v>
      </c>
      <c r="R684">
        <v>5</v>
      </c>
    </row>
    <row r="685" spans="1:18" x14ac:dyDescent="0.45">
      <c r="A685" t="s">
        <v>770</v>
      </c>
      <c r="B685" s="3">
        <v>45557</v>
      </c>
      <c r="C685">
        <v>0</v>
      </c>
      <c r="D685" t="s">
        <v>27</v>
      </c>
      <c r="E685">
        <v>28.4</v>
      </c>
      <c r="F685">
        <v>74.400000000000006</v>
      </c>
      <c r="G685" s="4">
        <f t="shared" si="20"/>
        <v>51.306509423054671</v>
      </c>
      <c r="H685" t="s">
        <v>28</v>
      </c>
      <c r="I685" t="s">
        <v>75</v>
      </c>
      <c r="J685">
        <v>99</v>
      </c>
      <c r="K685">
        <v>62</v>
      </c>
      <c r="L685">
        <v>76</v>
      </c>
      <c r="M685">
        <v>1</v>
      </c>
      <c r="N685" s="5">
        <v>4513.96</v>
      </c>
      <c r="O685" t="s">
        <v>63</v>
      </c>
      <c r="P685" t="str">
        <f t="shared" si="21"/>
        <v>Hospital Central de Nampula</v>
      </c>
      <c r="Q685" t="s">
        <v>24</v>
      </c>
      <c r="R685">
        <v>4</v>
      </c>
    </row>
    <row r="686" spans="1:18" x14ac:dyDescent="0.45">
      <c r="A686" t="s">
        <v>771</v>
      </c>
      <c r="B686" s="3">
        <v>45377</v>
      </c>
      <c r="C686">
        <v>28</v>
      </c>
      <c r="D686" t="s">
        <v>27</v>
      </c>
      <c r="E686">
        <v>64.7</v>
      </c>
      <c r="F686">
        <v>172.4</v>
      </c>
      <c r="G686" s="4">
        <f t="shared" si="20"/>
        <v>21.768562830734119</v>
      </c>
      <c r="H686" t="s">
        <v>46</v>
      </c>
      <c r="I686" t="s">
        <v>47</v>
      </c>
      <c r="J686">
        <v>123</v>
      </c>
      <c r="K686">
        <v>77</v>
      </c>
      <c r="L686">
        <v>65</v>
      </c>
      <c r="M686">
        <v>1</v>
      </c>
      <c r="N686" s="5">
        <v>4411.51</v>
      </c>
      <c r="O686" t="s">
        <v>23</v>
      </c>
      <c r="P686" t="str">
        <f t="shared" si="21"/>
        <v>Hospital Central de Maputo</v>
      </c>
      <c r="Q686" t="s">
        <v>24</v>
      </c>
      <c r="R686">
        <v>3</v>
      </c>
    </row>
    <row r="687" spans="1:18" x14ac:dyDescent="0.45">
      <c r="A687" t="s">
        <v>772</v>
      </c>
      <c r="B687" s="3">
        <v>45097</v>
      </c>
      <c r="C687">
        <v>49</v>
      </c>
      <c r="D687" t="s">
        <v>27</v>
      </c>
      <c r="E687">
        <v>60.9</v>
      </c>
      <c r="F687">
        <v>153.30000000000001</v>
      </c>
      <c r="G687" s="4">
        <f t="shared" si="20"/>
        <v>25.913912196516808</v>
      </c>
      <c r="H687" t="s">
        <v>46</v>
      </c>
      <c r="I687" t="s">
        <v>66</v>
      </c>
      <c r="J687">
        <v>111</v>
      </c>
      <c r="K687">
        <v>78</v>
      </c>
      <c r="L687">
        <v>117</v>
      </c>
      <c r="M687">
        <v>4</v>
      </c>
      <c r="N687" s="5">
        <v>8522.74</v>
      </c>
      <c r="O687" t="s">
        <v>63</v>
      </c>
      <c r="P687" t="str">
        <f t="shared" si="21"/>
        <v>Hospital Central de Nampula</v>
      </c>
      <c r="Q687" t="s">
        <v>24</v>
      </c>
      <c r="R687">
        <v>4</v>
      </c>
    </row>
    <row r="688" spans="1:18" x14ac:dyDescent="0.45">
      <c r="A688" t="s">
        <v>773</v>
      </c>
      <c r="B688" s="3">
        <v>45361</v>
      </c>
      <c r="C688">
        <v>65</v>
      </c>
      <c r="D688" t="s">
        <v>20</v>
      </c>
      <c r="E688">
        <v>58.4</v>
      </c>
      <c r="F688">
        <v>148.80000000000001</v>
      </c>
      <c r="G688" s="4">
        <f t="shared" si="20"/>
        <v>26.375881604809798</v>
      </c>
      <c r="H688" t="s">
        <v>55</v>
      </c>
      <c r="I688" t="s">
        <v>197</v>
      </c>
      <c r="J688">
        <v>131</v>
      </c>
      <c r="K688">
        <v>81</v>
      </c>
      <c r="L688">
        <v>89</v>
      </c>
      <c r="M688">
        <v>2</v>
      </c>
      <c r="N688" s="5">
        <v>6337.02</v>
      </c>
      <c r="O688" t="s">
        <v>30</v>
      </c>
      <c r="P688" t="str">
        <f t="shared" si="21"/>
        <v>Hospital Provincial de Inhambane</v>
      </c>
      <c r="Q688" t="s">
        <v>24</v>
      </c>
      <c r="R688">
        <v>4</v>
      </c>
    </row>
    <row r="689" spans="1:18" x14ac:dyDescent="0.45">
      <c r="A689" t="s">
        <v>774</v>
      </c>
      <c r="B689" s="3">
        <v>45186</v>
      </c>
      <c r="C689">
        <v>51</v>
      </c>
      <c r="D689" t="s">
        <v>20</v>
      </c>
      <c r="E689">
        <v>32.200000000000003</v>
      </c>
      <c r="F689">
        <v>164.5</v>
      </c>
      <c r="G689" s="4">
        <f t="shared" si="20"/>
        <v>11.899372696113304</v>
      </c>
      <c r="H689" t="s">
        <v>55</v>
      </c>
      <c r="I689" t="s">
        <v>56</v>
      </c>
      <c r="J689">
        <v>144</v>
      </c>
      <c r="K689">
        <v>87</v>
      </c>
      <c r="L689">
        <v>77</v>
      </c>
      <c r="M689">
        <v>1</v>
      </c>
      <c r="N689" s="5">
        <v>4410.34</v>
      </c>
      <c r="O689" t="s">
        <v>51</v>
      </c>
      <c r="P689" t="str">
        <f t="shared" si="21"/>
        <v>Hospital Central de Quelimane</v>
      </c>
      <c r="Q689" t="s">
        <v>24</v>
      </c>
      <c r="R689">
        <v>4</v>
      </c>
    </row>
    <row r="690" spans="1:18" x14ac:dyDescent="0.45">
      <c r="A690" t="s">
        <v>775</v>
      </c>
      <c r="B690" s="3">
        <v>45392</v>
      </c>
      <c r="C690">
        <v>17</v>
      </c>
      <c r="D690" t="s">
        <v>27</v>
      </c>
      <c r="E690">
        <v>64.7</v>
      </c>
      <c r="F690">
        <v>165.1</v>
      </c>
      <c r="G690" s="4">
        <f t="shared" si="20"/>
        <v>23.736142146840507</v>
      </c>
      <c r="H690" t="s">
        <v>28</v>
      </c>
      <c r="I690" t="s">
        <v>29</v>
      </c>
      <c r="J690">
        <v>112</v>
      </c>
      <c r="K690">
        <v>67</v>
      </c>
      <c r="L690">
        <v>84</v>
      </c>
      <c r="M690">
        <v>1</v>
      </c>
      <c r="N690" s="5">
        <v>5087.01</v>
      </c>
      <c r="O690" t="s">
        <v>23</v>
      </c>
      <c r="P690" t="str">
        <f t="shared" si="21"/>
        <v>Hospital Central de Maputo</v>
      </c>
      <c r="Q690" t="s">
        <v>24</v>
      </c>
      <c r="R690">
        <v>2</v>
      </c>
    </row>
    <row r="691" spans="1:18" x14ac:dyDescent="0.45">
      <c r="A691" t="s">
        <v>776</v>
      </c>
      <c r="B691" s="3">
        <v>45026</v>
      </c>
      <c r="C691">
        <v>18</v>
      </c>
      <c r="D691" t="s">
        <v>27</v>
      </c>
      <c r="E691">
        <v>47.8</v>
      </c>
      <c r="F691">
        <v>154.69999999999999</v>
      </c>
      <c r="G691" s="4">
        <f t="shared" si="20"/>
        <v>19.973182450843201</v>
      </c>
      <c r="H691" t="s">
        <v>34</v>
      </c>
      <c r="I691" t="s">
        <v>138</v>
      </c>
      <c r="J691">
        <v>98</v>
      </c>
      <c r="K691">
        <v>68</v>
      </c>
      <c r="L691">
        <v>118</v>
      </c>
      <c r="M691">
        <v>1</v>
      </c>
      <c r="N691" s="5">
        <v>6007.04</v>
      </c>
      <c r="O691" t="s">
        <v>30</v>
      </c>
      <c r="P691" t="str">
        <f t="shared" si="21"/>
        <v>Hospital Provincial de Inhambane</v>
      </c>
      <c r="Q691" t="s">
        <v>24</v>
      </c>
      <c r="R691">
        <v>4</v>
      </c>
    </row>
    <row r="692" spans="1:18" x14ac:dyDescent="0.45">
      <c r="A692" t="s">
        <v>777</v>
      </c>
      <c r="B692" s="3">
        <v>45353</v>
      </c>
      <c r="C692">
        <v>18</v>
      </c>
      <c r="D692" t="s">
        <v>20</v>
      </c>
      <c r="E692">
        <v>59</v>
      </c>
      <c r="F692">
        <v>162.5</v>
      </c>
      <c r="G692" s="4">
        <f t="shared" si="20"/>
        <v>22.34319526627219</v>
      </c>
      <c r="H692" t="s">
        <v>21</v>
      </c>
      <c r="I692" t="s">
        <v>70</v>
      </c>
      <c r="J692">
        <v>98</v>
      </c>
      <c r="K692">
        <v>62</v>
      </c>
      <c r="L692">
        <v>104</v>
      </c>
      <c r="M692">
        <v>1</v>
      </c>
      <c r="N692" s="5">
        <v>5815.07</v>
      </c>
      <c r="O692" t="s">
        <v>23</v>
      </c>
      <c r="P692" t="str">
        <f t="shared" si="21"/>
        <v>Hospital Central de Maputo</v>
      </c>
      <c r="Q692" t="s">
        <v>24</v>
      </c>
      <c r="R692">
        <v>4</v>
      </c>
    </row>
    <row r="693" spans="1:18" x14ac:dyDescent="0.45">
      <c r="A693" t="s">
        <v>778</v>
      </c>
      <c r="B693" s="3">
        <v>45276</v>
      </c>
      <c r="C693">
        <v>57</v>
      </c>
      <c r="D693" t="s">
        <v>27</v>
      </c>
      <c r="E693">
        <v>58.6</v>
      </c>
      <c r="F693">
        <v>153.80000000000001</v>
      </c>
      <c r="G693" s="4">
        <f t="shared" si="20"/>
        <v>24.77336178746992</v>
      </c>
      <c r="H693" t="s">
        <v>55</v>
      </c>
      <c r="I693" t="s">
        <v>80</v>
      </c>
      <c r="J693">
        <v>126</v>
      </c>
      <c r="K693">
        <v>79</v>
      </c>
      <c r="L693">
        <v>90</v>
      </c>
      <c r="M693">
        <v>3</v>
      </c>
      <c r="N693" s="5">
        <v>13840.62</v>
      </c>
      <c r="O693" t="s">
        <v>63</v>
      </c>
      <c r="P693" t="str">
        <f t="shared" si="21"/>
        <v>Hospital Central de Nampula</v>
      </c>
      <c r="Q693" t="s">
        <v>24</v>
      </c>
      <c r="R693">
        <v>4</v>
      </c>
    </row>
    <row r="694" spans="1:18" x14ac:dyDescent="0.45">
      <c r="A694" t="s">
        <v>779</v>
      </c>
      <c r="B694" s="3">
        <v>45010</v>
      </c>
      <c r="C694">
        <v>27</v>
      </c>
      <c r="D694" t="s">
        <v>20</v>
      </c>
      <c r="E694">
        <v>44.4</v>
      </c>
      <c r="F694">
        <v>162.80000000000001</v>
      </c>
      <c r="G694" s="4">
        <f t="shared" si="20"/>
        <v>16.752289479562204</v>
      </c>
      <c r="H694" t="s">
        <v>91</v>
      </c>
      <c r="I694" t="s">
        <v>110</v>
      </c>
      <c r="J694">
        <v>106</v>
      </c>
      <c r="K694">
        <v>71</v>
      </c>
      <c r="L694">
        <v>85</v>
      </c>
      <c r="M694">
        <v>3</v>
      </c>
      <c r="N694" s="5">
        <v>8745.83</v>
      </c>
      <c r="O694" t="s">
        <v>38</v>
      </c>
      <c r="P694" t="str">
        <f t="shared" si="21"/>
        <v>Hospital Provincial de Xai-Xai</v>
      </c>
      <c r="Q694" t="s">
        <v>24</v>
      </c>
      <c r="R694">
        <v>5</v>
      </c>
    </row>
    <row r="695" spans="1:18" x14ac:dyDescent="0.45">
      <c r="A695" t="s">
        <v>780</v>
      </c>
      <c r="B695" s="3">
        <v>45192</v>
      </c>
      <c r="C695">
        <v>15</v>
      </c>
      <c r="D695" t="s">
        <v>27</v>
      </c>
      <c r="E695">
        <v>54.2</v>
      </c>
      <c r="F695">
        <v>170.1</v>
      </c>
      <c r="G695" s="4">
        <f t="shared" si="20"/>
        <v>18.732280800345343</v>
      </c>
      <c r="H695" t="s">
        <v>28</v>
      </c>
      <c r="I695" t="s">
        <v>50</v>
      </c>
      <c r="J695">
        <v>100</v>
      </c>
      <c r="K695">
        <v>57</v>
      </c>
      <c r="L695">
        <v>72</v>
      </c>
      <c r="M695">
        <v>3</v>
      </c>
      <c r="N695" s="5">
        <v>9152.81</v>
      </c>
      <c r="O695" t="s">
        <v>63</v>
      </c>
      <c r="P695" t="str">
        <f t="shared" si="21"/>
        <v>Hospital Central de Nampula</v>
      </c>
      <c r="Q695" t="s">
        <v>24</v>
      </c>
      <c r="R695">
        <v>4</v>
      </c>
    </row>
    <row r="696" spans="1:18" x14ac:dyDescent="0.45">
      <c r="A696" t="s">
        <v>781</v>
      </c>
      <c r="B696" s="3">
        <v>45142</v>
      </c>
      <c r="C696">
        <v>49</v>
      </c>
      <c r="D696" t="s">
        <v>27</v>
      </c>
      <c r="E696">
        <v>46.7</v>
      </c>
      <c r="F696">
        <v>148.1</v>
      </c>
      <c r="G696" s="4">
        <f t="shared" si="20"/>
        <v>21.291524742165112</v>
      </c>
      <c r="H696" t="s">
        <v>91</v>
      </c>
      <c r="I696" t="s">
        <v>110</v>
      </c>
      <c r="J696">
        <v>146</v>
      </c>
      <c r="K696">
        <v>81</v>
      </c>
      <c r="L696">
        <v>81</v>
      </c>
      <c r="M696">
        <v>1</v>
      </c>
      <c r="N696" s="5">
        <v>3333.76</v>
      </c>
      <c r="O696" t="s">
        <v>31</v>
      </c>
      <c r="P696" t="str">
        <f t="shared" si="21"/>
        <v>Hospital Provincial da Matola</v>
      </c>
      <c r="Q696" t="s">
        <v>24</v>
      </c>
      <c r="R696">
        <v>5</v>
      </c>
    </row>
    <row r="697" spans="1:18" x14ac:dyDescent="0.45">
      <c r="A697" t="s">
        <v>782</v>
      </c>
      <c r="B697" s="3">
        <v>45456</v>
      </c>
      <c r="C697">
        <v>23</v>
      </c>
      <c r="D697" t="s">
        <v>20</v>
      </c>
      <c r="E697">
        <v>49.9</v>
      </c>
      <c r="F697">
        <v>164.6</v>
      </c>
      <c r="G697" s="4">
        <f t="shared" si="20"/>
        <v>18.417932791892863</v>
      </c>
      <c r="H697" t="s">
        <v>41</v>
      </c>
      <c r="I697" t="s">
        <v>161</v>
      </c>
      <c r="J697">
        <v>87</v>
      </c>
      <c r="K697">
        <v>55</v>
      </c>
      <c r="L697">
        <v>95</v>
      </c>
      <c r="M697">
        <v>1</v>
      </c>
      <c r="N697" s="5">
        <v>4064.48</v>
      </c>
      <c r="O697" t="s">
        <v>43</v>
      </c>
      <c r="P697" t="str">
        <f t="shared" si="21"/>
        <v>Hospital Central da Beira</v>
      </c>
      <c r="Q697" t="s">
        <v>24</v>
      </c>
      <c r="R697">
        <v>5</v>
      </c>
    </row>
    <row r="698" spans="1:18" x14ac:dyDescent="0.45">
      <c r="A698" t="s">
        <v>783</v>
      </c>
      <c r="B698" s="3">
        <v>45118</v>
      </c>
      <c r="C698">
        <v>27</v>
      </c>
      <c r="D698" t="s">
        <v>27</v>
      </c>
      <c r="E698">
        <v>48.6</v>
      </c>
      <c r="F698">
        <v>164.2</v>
      </c>
      <c r="G698" s="4">
        <f t="shared" si="20"/>
        <v>18.025609718103205</v>
      </c>
      <c r="H698" t="s">
        <v>91</v>
      </c>
      <c r="I698" t="s">
        <v>92</v>
      </c>
      <c r="J698">
        <v>117</v>
      </c>
      <c r="K698">
        <v>64</v>
      </c>
      <c r="L698">
        <v>73</v>
      </c>
      <c r="M698">
        <v>5</v>
      </c>
      <c r="N698" s="5">
        <v>11301.2</v>
      </c>
      <c r="O698" t="s">
        <v>51</v>
      </c>
      <c r="P698" t="str">
        <f t="shared" si="21"/>
        <v>Hospital Central de Quelimane</v>
      </c>
      <c r="Q698" t="s">
        <v>24</v>
      </c>
      <c r="R698">
        <v>4</v>
      </c>
    </row>
    <row r="699" spans="1:18" x14ac:dyDescent="0.45">
      <c r="A699" t="s">
        <v>784</v>
      </c>
      <c r="B699" s="3">
        <v>45337</v>
      </c>
      <c r="C699">
        <v>49</v>
      </c>
      <c r="D699" t="s">
        <v>27</v>
      </c>
      <c r="E699">
        <v>45.8</v>
      </c>
      <c r="F699">
        <v>160.19999999999999</v>
      </c>
      <c r="G699" s="4">
        <f t="shared" si="20"/>
        <v>17.845982160252248</v>
      </c>
      <c r="H699" t="s">
        <v>21</v>
      </c>
      <c r="I699" t="s">
        <v>22</v>
      </c>
      <c r="J699">
        <v>154</v>
      </c>
      <c r="K699">
        <v>101</v>
      </c>
      <c r="L699">
        <v>85</v>
      </c>
      <c r="M699">
        <v>1</v>
      </c>
      <c r="N699" s="5">
        <v>5537.37</v>
      </c>
      <c r="O699" t="s">
        <v>63</v>
      </c>
      <c r="P699" t="str">
        <f t="shared" si="21"/>
        <v>Hospital Central de Nampula</v>
      </c>
      <c r="Q699" t="s">
        <v>76</v>
      </c>
      <c r="R699">
        <v>5</v>
      </c>
    </row>
    <row r="700" spans="1:18" x14ac:dyDescent="0.45">
      <c r="A700" t="s">
        <v>785</v>
      </c>
      <c r="B700" s="3">
        <v>45130</v>
      </c>
      <c r="C700">
        <v>18</v>
      </c>
      <c r="D700" t="s">
        <v>20</v>
      </c>
      <c r="E700">
        <v>56.6</v>
      </c>
      <c r="F700">
        <v>182.8</v>
      </c>
      <c r="G700" s="4">
        <f t="shared" si="20"/>
        <v>16.938074877064292</v>
      </c>
      <c r="H700" t="s">
        <v>21</v>
      </c>
      <c r="I700" t="s">
        <v>22</v>
      </c>
      <c r="J700">
        <v>151</v>
      </c>
      <c r="K700">
        <v>95</v>
      </c>
      <c r="L700">
        <v>68</v>
      </c>
      <c r="M700">
        <v>1</v>
      </c>
      <c r="N700" s="5">
        <v>1959.16</v>
      </c>
      <c r="O700" t="s">
        <v>63</v>
      </c>
      <c r="P700" t="str">
        <f t="shared" si="21"/>
        <v>Hospital Central de Nampula</v>
      </c>
      <c r="Q700" t="s">
        <v>24</v>
      </c>
      <c r="R700">
        <v>2</v>
      </c>
    </row>
    <row r="701" spans="1:18" x14ac:dyDescent="0.45">
      <c r="A701" t="s">
        <v>786</v>
      </c>
      <c r="B701" s="3">
        <v>45168</v>
      </c>
      <c r="C701">
        <v>36</v>
      </c>
      <c r="D701" t="s">
        <v>20</v>
      </c>
      <c r="E701">
        <v>71.099999999999994</v>
      </c>
      <c r="F701">
        <v>157.9</v>
      </c>
      <c r="G701" s="4">
        <f t="shared" si="20"/>
        <v>28.517098828392442</v>
      </c>
      <c r="H701" t="s">
        <v>41</v>
      </c>
      <c r="I701" t="s">
        <v>42</v>
      </c>
      <c r="J701">
        <v>114</v>
      </c>
      <c r="K701">
        <v>76</v>
      </c>
      <c r="L701">
        <v>102</v>
      </c>
      <c r="M701">
        <v>2</v>
      </c>
      <c r="N701" s="5">
        <v>4841.6099999999997</v>
      </c>
      <c r="O701" t="s">
        <v>30</v>
      </c>
      <c r="P701" t="str">
        <f t="shared" si="21"/>
        <v>Hospital Provincial de Inhambane</v>
      </c>
      <c r="Q701" t="s">
        <v>24</v>
      </c>
      <c r="R701">
        <v>3</v>
      </c>
    </row>
    <row r="702" spans="1:18" x14ac:dyDescent="0.45">
      <c r="A702" t="s">
        <v>787</v>
      </c>
      <c r="B702" s="3">
        <v>45025</v>
      </c>
      <c r="C702">
        <v>38</v>
      </c>
      <c r="D702" t="s">
        <v>27</v>
      </c>
      <c r="E702">
        <v>81.8</v>
      </c>
      <c r="F702">
        <v>158.19999999999999</v>
      </c>
      <c r="G702" s="4">
        <f t="shared" si="20"/>
        <v>32.684387091824753</v>
      </c>
      <c r="H702" t="s">
        <v>21</v>
      </c>
      <c r="I702" t="s">
        <v>123</v>
      </c>
      <c r="J702">
        <v>101</v>
      </c>
      <c r="K702">
        <v>61</v>
      </c>
      <c r="L702">
        <v>71</v>
      </c>
      <c r="M702">
        <v>2</v>
      </c>
      <c r="N702" s="5">
        <v>4243.38</v>
      </c>
      <c r="O702" t="s">
        <v>51</v>
      </c>
      <c r="P702" t="str">
        <f t="shared" si="21"/>
        <v>Hospital Central de Quelimane</v>
      </c>
      <c r="Q702" t="s">
        <v>24</v>
      </c>
      <c r="R702">
        <v>3</v>
      </c>
    </row>
    <row r="703" spans="1:18" x14ac:dyDescent="0.45">
      <c r="A703" t="s">
        <v>788</v>
      </c>
      <c r="B703" s="3">
        <v>45550</v>
      </c>
      <c r="C703">
        <v>27</v>
      </c>
      <c r="D703" t="s">
        <v>20</v>
      </c>
      <c r="E703">
        <v>48.6</v>
      </c>
      <c r="F703">
        <v>169</v>
      </c>
      <c r="G703" s="4">
        <f t="shared" si="20"/>
        <v>17.016210916984701</v>
      </c>
      <c r="H703" t="s">
        <v>46</v>
      </c>
      <c r="I703" t="s">
        <v>47</v>
      </c>
      <c r="J703">
        <v>97</v>
      </c>
      <c r="K703">
        <v>67</v>
      </c>
      <c r="L703">
        <v>75</v>
      </c>
      <c r="M703">
        <v>1</v>
      </c>
      <c r="N703" s="5">
        <v>2587.15</v>
      </c>
      <c r="O703" t="s">
        <v>43</v>
      </c>
      <c r="P703" t="str">
        <f t="shared" si="21"/>
        <v>Hospital Central da Beira</v>
      </c>
      <c r="Q703" t="s">
        <v>24</v>
      </c>
      <c r="R703">
        <v>4</v>
      </c>
    </row>
    <row r="704" spans="1:18" x14ac:dyDescent="0.45">
      <c r="A704" t="s">
        <v>789</v>
      </c>
      <c r="B704" s="3">
        <v>45362</v>
      </c>
      <c r="C704">
        <v>12</v>
      </c>
      <c r="D704" t="s">
        <v>20</v>
      </c>
      <c r="E704">
        <v>70.599999999999994</v>
      </c>
      <c r="F704">
        <v>185.2</v>
      </c>
      <c r="G704" s="4">
        <f t="shared" si="20"/>
        <v>20.583666481627475</v>
      </c>
      <c r="H704" t="s">
        <v>28</v>
      </c>
      <c r="I704" t="s">
        <v>73</v>
      </c>
      <c r="J704">
        <v>98</v>
      </c>
      <c r="K704">
        <v>62</v>
      </c>
      <c r="L704">
        <v>73</v>
      </c>
      <c r="M704">
        <v>2</v>
      </c>
      <c r="N704" s="5">
        <v>4906.95</v>
      </c>
      <c r="O704" t="s">
        <v>23</v>
      </c>
      <c r="P704" t="str">
        <f t="shared" si="21"/>
        <v>Hospital Central de Maputo</v>
      </c>
      <c r="Q704" t="s">
        <v>37</v>
      </c>
      <c r="R704">
        <v>5</v>
      </c>
    </row>
    <row r="705" spans="1:18" x14ac:dyDescent="0.45">
      <c r="A705" t="s">
        <v>790</v>
      </c>
      <c r="B705" s="3">
        <v>44939</v>
      </c>
      <c r="C705">
        <v>18</v>
      </c>
      <c r="D705" t="s">
        <v>20</v>
      </c>
      <c r="E705">
        <v>62.3</v>
      </c>
      <c r="F705">
        <v>162.5</v>
      </c>
      <c r="G705" s="4">
        <f t="shared" si="20"/>
        <v>23.592899408284023</v>
      </c>
      <c r="H705" t="s">
        <v>91</v>
      </c>
      <c r="I705" t="s">
        <v>131</v>
      </c>
      <c r="J705">
        <v>97</v>
      </c>
      <c r="K705">
        <v>55</v>
      </c>
      <c r="L705">
        <v>82</v>
      </c>
      <c r="M705">
        <v>2</v>
      </c>
      <c r="N705" s="5">
        <v>6172.97</v>
      </c>
      <c r="O705" t="s">
        <v>63</v>
      </c>
      <c r="P705" t="str">
        <f t="shared" si="21"/>
        <v>Hospital Central de Nampula</v>
      </c>
      <c r="Q705" t="s">
        <v>37</v>
      </c>
      <c r="R705">
        <v>4</v>
      </c>
    </row>
    <row r="706" spans="1:18" x14ac:dyDescent="0.45">
      <c r="A706" t="s">
        <v>791</v>
      </c>
      <c r="B706" s="3">
        <v>45411</v>
      </c>
      <c r="C706">
        <v>28</v>
      </c>
      <c r="D706" t="s">
        <v>27</v>
      </c>
      <c r="E706">
        <v>68.900000000000006</v>
      </c>
      <c r="F706">
        <v>167.3</v>
      </c>
      <c r="G706" s="4">
        <f t="shared" ref="G706:G769" si="22">E706/((F706/100)^2)</f>
        <v>24.616558690842105</v>
      </c>
      <c r="H706" t="s">
        <v>99</v>
      </c>
      <c r="I706" t="s">
        <v>151</v>
      </c>
      <c r="J706">
        <v>93</v>
      </c>
      <c r="K706">
        <v>62</v>
      </c>
      <c r="L706">
        <v>93</v>
      </c>
      <c r="M706">
        <v>1</v>
      </c>
      <c r="N706" s="5">
        <v>5874.31</v>
      </c>
      <c r="O706" t="s">
        <v>38</v>
      </c>
      <c r="P706" t="str">
        <f t="shared" ref="P706:P769" si="23">INDEX($U$2:$U$12,MATCH(O706,$T$2:$T$12,0))</f>
        <v>Hospital Provincial de Xai-Xai</v>
      </c>
      <c r="Q706" t="s">
        <v>24</v>
      </c>
      <c r="R706">
        <v>4</v>
      </c>
    </row>
    <row r="707" spans="1:18" x14ac:dyDescent="0.45">
      <c r="A707" t="s">
        <v>792</v>
      </c>
      <c r="B707" s="3">
        <v>45392</v>
      </c>
      <c r="C707">
        <v>32</v>
      </c>
      <c r="D707" t="s">
        <v>27</v>
      </c>
      <c r="E707">
        <v>70</v>
      </c>
      <c r="F707">
        <v>180.5</v>
      </c>
      <c r="G707" s="4">
        <f t="shared" si="22"/>
        <v>21.485409105209445</v>
      </c>
      <c r="H707" t="s">
        <v>21</v>
      </c>
      <c r="I707" t="s">
        <v>123</v>
      </c>
      <c r="J707">
        <v>109</v>
      </c>
      <c r="K707">
        <v>68</v>
      </c>
      <c r="L707">
        <v>75</v>
      </c>
      <c r="M707">
        <v>2</v>
      </c>
      <c r="N707" s="5">
        <v>7882.17</v>
      </c>
      <c r="O707" t="s">
        <v>23</v>
      </c>
      <c r="P707" t="str">
        <f t="shared" si="23"/>
        <v>Hospital Central de Maputo</v>
      </c>
      <c r="Q707" t="s">
        <v>24</v>
      </c>
      <c r="R707">
        <v>3</v>
      </c>
    </row>
    <row r="708" spans="1:18" x14ac:dyDescent="0.45">
      <c r="A708" t="s">
        <v>793</v>
      </c>
      <c r="B708" s="3">
        <v>45354</v>
      </c>
      <c r="C708">
        <v>28</v>
      </c>
      <c r="D708" t="s">
        <v>20</v>
      </c>
      <c r="E708">
        <v>51.8</v>
      </c>
      <c r="F708">
        <v>155</v>
      </c>
      <c r="G708" s="4">
        <f t="shared" si="22"/>
        <v>21.56087408949011</v>
      </c>
      <c r="H708" t="s">
        <v>41</v>
      </c>
      <c r="I708" t="s">
        <v>42</v>
      </c>
      <c r="J708">
        <v>109</v>
      </c>
      <c r="K708">
        <v>68</v>
      </c>
      <c r="L708">
        <v>87</v>
      </c>
      <c r="M708">
        <v>1</v>
      </c>
      <c r="N708" s="5">
        <v>3970.56</v>
      </c>
      <c r="O708" t="s">
        <v>57</v>
      </c>
      <c r="P708" t="str">
        <f t="shared" si="23"/>
        <v>Hospital Provincial de Tete</v>
      </c>
      <c r="Q708" t="s">
        <v>24</v>
      </c>
      <c r="R708">
        <v>3</v>
      </c>
    </row>
    <row r="709" spans="1:18" x14ac:dyDescent="0.45">
      <c r="A709" t="s">
        <v>794</v>
      </c>
      <c r="B709" s="3">
        <v>45396</v>
      </c>
      <c r="C709">
        <v>25</v>
      </c>
      <c r="D709" t="s">
        <v>20</v>
      </c>
      <c r="E709">
        <v>66.7</v>
      </c>
      <c r="F709">
        <v>170.7</v>
      </c>
      <c r="G709" s="4">
        <f t="shared" si="22"/>
        <v>22.89068513845433</v>
      </c>
      <c r="H709" t="s">
        <v>34</v>
      </c>
      <c r="I709" t="s">
        <v>35</v>
      </c>
      <c r="J709">
        <v>125</v>
      </c>
      <c r="K709">
        <v>79</v>
      </c>
      <c r="L709">
        <v>83</v>
      </c>
      <c r="M709">
        <v>1</v>
      </c>
      <c r="N709" s="5">
        <v>4927.79</v>
      </c>
      <c r="O709" t="s">
        <v>30</v>
      </c>
      <c r="P709" t="str">
        <f t="shared" si="23"/>
        <v>Hospital Provincial de Inhambane</v>
      </c>
      <c r="Q709" t="s">
        <v>24</v>
      </c>
      <c r="R709">
        <v>4</v>
      </c>
    </row>
    <row r="710" spans="1:18" x14ac:dyDescent="0.45">
      <c r="A710" t="s">
        <v>795</v>
      </c>
      <c r="B710" s="3">
        <v>45337</v>
      </c>
      <c r="C710">
        <v>8</v>
      </c>
      <c r="D710" t="s">
        <v>20</v>
      </c>
      <c r="E710">
        <v>29.5</v>
      </c>
      <c r="F710">
        <v>61.7</v>
      </c>
      <c r="G710" s="4">
        <f t="shared" si="22"/>
        <v>77.491075392249314</v>
      </c>
      <c r="H710" t="s">
        <v>28</v>
      </c>
      <c r="I710" t="s">
        <v>29</v>
      </c>
      <c r="J710">
        <v>92</v>
      </c>
      <c r="K710">
        <v>59</v>
      </c>
      <c r="L710">
        <v>94</v>
      </c>
      <c r="M710">
        <v>1</v>
      </c>
      <c r="N710" s="5">
        <v>3790.89</v>
      </c>
      <c r="O710" t="s">
        <v>63</v>
      </c>
      <c r="P710" t="str">
        <f t="shared" si="23"/>
        <v>Hospital Central de Nampula</v>
      </c>
      <c r="Q710" t="s">
        <v>24</v>
      </c>
      <c r="R710">
        <v>5</v>
      </c>
    </row>
    <row r="711" spans="1:18" x14ac:dyDescent="0.45">
      <c r="A711" t="s">
        <v>796</v>
      </c>
      <c r="B711" s="3">
        <v>45310</v>
      </c>
      <c r="C711">
        <v>13</v>
      </c>
      <c r="D711" t="s">
        <v>27</v>
      </c>
      <c r="E711">
        <v>43.2</v>
      </c>
      <c r="F711">
        <v>162.69999999999999</v>
      </c>
      <c r="G711" s="4">
        <f t="shared" si="22"/>
        <v>16.319567350136701</v>
      </c>
      <c r="H711" t="s">
        <v>28</v>
      </c>
      <c r="I711" t="s">
        <v>50</v>
      </c>
      <c r="J711">
        <v>102</v>
      </c>
      <c r="K711">
        <v>72</v>
      </c>
      <c r="L711">
        <v>65</v>
      </c>
      <c r="M711">
        <v>4</v>
      </c>
      <c r="N711" s="5">
        <v>7970.92</v>
      </c>
      <c r="O711" t="s">
        <v>23</v>
      </c>
      <c r="P711" t="str">
        <f t="shared" si="23"/>
        <v>Hospital Central de Maputo</v>
      </c>
      <c r="Q711" t="s">
        <v>24</v>
      </c>
      <c r="R711">
        <v>3</v>
      </c>
    </row>
    <row r="712" spans="1:18" x14ac:dyDescent="0.45">
      <c r="A712" t="s">
        <v>797</v>
      </c>
      <c r="B712" s="3">
        <v>45200</v>
      </c>
      <c r="C712">
        <v>18</v>
      </c>
      <c r="D712" t="s">
        <v>27</v>
      </c>
      <c r="E712">
        <v>68.900000000000006</v>
      </c>
      <c r="F712">
        <v>168.3</v>
      </c>
      <c r="G712" s="4">
        <f t="shared" si="22"/>
        <v>24.324895877795111</v>
      </c>
      <c r="H712" t="s">
        <v>55</v>
      </c>
      <c r="I712" t="s">
        <v>62</v>
      </c>
      <c r="J712">
        <v>105</v>
      </c>
      <c r="K712">
        <v>60</v>
      </c>
      <c r="L712">
        <v>65</v>
      </c>
      <c r="M712">
        <v>3</v>
      </c>
      <c r="N712" s="5">
        <v>9282.82</v>
      </c>
      <c r="O712" t="s">
        <v>57</v>
      </c>
      <c r="P712" t="str">
        <f t="shared" si="23"/>
        <v>Hospital Provincial de Tete</v>
      </c>
      <c r="Q712" t="s">
        <v>24</v>
      </c>
      <c r="R712">
        <v>4</v>
      </c>
    </row>
    <row r="713" spans="1:18" x14ac:dyDescent="0.45">
      <c r="A713" t="s">
        <v>798</v>
      </c>
      <c r="B713" s="3">
        <v>45498</v>
      </c>
      <c r="C713">
        <v>20</v>
      </c>
      <c r="D713" t="s">
        <v>20</v>
      </c>
      <c r="E713">
        <v>74.7</v>
      </c>
      <c r="F713">
        <v>157.4</v>
      </c>
      <c r="G713" s="4">
        <f t="shared" si="22"/>
        <v>30.151654344986589</v>
      </c>
      <c r="H713" t="s">
        <v>91</v>
      </c>
      <c r="I713" t="s">
        <v>116</v>
      </c>
      <c r="J713">
        <v>88</v>
      </c>
      <c r="K713">
        <v>56</v>
      </c>
      <c r="L713">
        <v>94</v>
      </c>
      <c r="M713">
        <v>4</v>
      </c>
      <c r="N713" s="5">
        <v>6652.4</v>
      </c>
      <c r="O713" t="s">
        <v>63</v>
      </c>
      <c r="P713" t="str">
        <f t="shared" si="23"/>
        <v>Hospital Central de Nampula</v>
      </c>
      <c r="Q713" t="s">
        <v>76</v>
      </c>
      <c r="R713">
        <v>4</v>
      </c>
    </row>
    <row r="714" spans="1:18" x14ac:dyDescent="0.45">
      <c r="A714" t="s">
        <v>799</v>
      </c>
      <c r="B714" s="3">
        <v>45501</v>
      </c>
      <c r="C714">
        <v>63</v>
      </c>
      <c r="D714" t="s">
        <v>27</v>
      </c>
      <c r="E714">
        <v>82.9</v>
      </c>
      <c r="F714">
        <v>158</v>
      </c>
      <c r="G714" s="4">
        <f t="shared" si="22"/>
        <v>33.207819259734016</v>
      </c>
      <c r="H714" t="s">
        <v>21</v>
      </c>
      <c r="I714" t="s">
        <v>123</v>
      </c>
      <c r="J714">
        <v>112</v>
      </c>
      <c r="K714">
        <v>71</v>
      </c>
      <c r="L714">
        <v>105</v>
      </c>
      <c r="M714">
        <v>3</v>
      </c>
      <c r="N714" s="5">
        <v>8485.48</v>
      </c>
      <c r="O714" t="s">
        <v>51</v>
      </c>
      <c r="P714" t="str">
        <f t="shared" si="23"/>
        <v>Hospital Central de Quelimane</v>
      </c>
      <c r="Q714" t="s">
        <v>24</v>
      </c>
      <c r="R714">
        <v>3</v>
      </c>
    </row>
    <row r="715" spans="1:18" x14ac:dyDescent="0.45">
      <c r="A715" t="s">
        <v>800</v>
      </c>
      <c r="B715" s="3">
        <v>45429</v>
      </c>
      <c r="C715">
        <v>56</v>
      </c>
      <c r="D715" t="s">
        <v>20</v>
      </c>
      <c r="E715">
        <v>84.2</v>
      </c>
      <c r="F715">
        <v>147.19999999999999</v>
      </c>
      <c r="G715" s="4">
        <f t="shared" si="22"/>
        <v>38.85943407372401</v>
      </c>
      <c r="H715" t="s">
        <v>91</v>
      </c>
      <c r="I715" t="s">
        <v>110</v>
      </c>
      <c r="J715">
        <v>130</v>
      </c>
      <c r="K715">
        <v>84</v>
      </c>
      <c r="L715">
        <v>93</v>
      </c>
      <c r="M715">
        <v>1</v>
      </c>
      <c r="N715" s="5">
        <v>5866.57</v>
      </c>
      <c r="O715" t="s">
        <v>36</v>
      </c>
      <c r="P715" t="str">
        <f t="shared" si="23"/>
        <v>Hospital Provincial de Lichinga</v>
      </c>
      <c r="Q715" t="s">
        <v>76</v>
      </c>
      <c r="R715">
        <v>4</v>
      </c>
    </row>
    <row r="716" spans="1:18" x14ac:dyDescent="0.45">
      <c r="A716" t="s">
        <v>801</v>
      </c>
      <c r="B716" s="3">
        <v>45287</v>
      </c>
      <c r="C716">
        <v>45</v>
      </c>
      <c r="D716" t="s">
        <v>20</v>
      </c>
      <c r="E716">
        <v>74.3</v>
      </c>
      <c r="F716">
        <v>159.4</v>
      </c>
      <c r="G716" s="4">
        <f t="shared" si="22"/>
        <v>29.242343858478073</v>
      </c>
      <c r="H716" t="s">
        <v>91</v>
      </c>
      <c r="I716" t="s">
        <v>116</v>
      </c>
      <c r="J716">
        <v>137</v>
      </c>
      <c r="K716">
        <v>92</v>
      </c>
      <c r="L716">
        <v>120</v>
      </c>
      <c r="M716">
        <v>1</v>
      </c>
      <c r="N716" s="5">
        <v>3947.68</v>
      </c>
      <c r="O716" t="s">
        <v>63</v>
      </c>
      <c r="P716" t="str">
        <f t="shared" si="23"/>
        <v>Hospital Central de Nampula</v>
      </c>
      <c r="Q716" t="s">
        <v>24</v>
      </c>
      <c r="R716">
        <v>4</v>
      </c>
    </row>
    <row r="717" spans="1:18" x14ac:dyDescent="0.45">
      <c r="A717" t="s">
        <v>802</v>
      </c>
      <c r="B717" s="3">
        <v>45387</v>
      </c>
      <c r="C717">
        <v>30</v>
      </c>
      <c r="D717" t="s">
        <v>20</v>
      </c>
      <c r="E717">
        <v>64.599999999999994</v>
      </c>
      <c r="F717">
        <v>162.4</v>
      </c>
      <c r="G717" s="4">
        <f t="shared" si="22"/>
        <v>24.494042563517674</v>
      </c>
      <c r="H717" t="s">
        <v>34</v>
      </c>
      <c r="I717" t="s">
        <v>138</v>
      </c>
      <c r="J717">
        <v>121</v>
      </c>
      <c r="K717">
        <v>66</v>
      </c>
      <c r="L717">
        <v>73</v>
      </c>
      <c r="M717">
        <v>1</v>
      </c>
      <c r="N717" s="5">
        <v>4130.47</v>
      </c>
      <c r="O717" t="s">
        <v>43</v>
      </c>
      <c r="P717" t="str">
        <f t="shared" si="23"/>
        <v>Hospital Central da Beira</v>
      </c>
      <c r="Q717" t="s">
        <v>24</v>
      </c>
      <c r="R717">
        <v>1</v>
      </c>
    </row>
    <row r="718" spans="1:18" x14ac:dyDescent="0.45">
      <c r="A718" t="s">
        <v>803</v>
      </c>
      <c r="B718" s="3">
        <v>45156</v>
      </c>
      <c r="C718">
        <v>18</v>
      </c>
      <c r="D718" t="s">
        <v>20</v>
      </c>
      <c r="E718">
        <v>52.6</v>
      </c>
      <c r="F718">
        <v>151.19999999999999</v>
      </c>
      <c r="G718" s="4">
        <f t="shared" si="22"/>
        <v>23.008174463200927</v>
      </c>
      <c r="H718" t="s">
        <v>55</v>
      </c>
      <c r="I718" t="s">
        <v>80</v>
      </c>
      <c r="J718">
        <v>117</v>
      </c>
      <c r="K718">
        <v>70</v>
      </c>
      <c r="L718">
        <v>87</v>
      </c>
      <c r="M718">
        <v>2</v>
      </c>
      <c r="N718" s="5">
        <v>5466.36</v>
      </c>
      <c r="O718" t="s">
        <v>51</v>
      </c>
      <c r="P718" t="str">
        <f t="shared" si="23"/>
        <v>Hospital Central de Quelimane</v>
      </c>
      <c r="Q718" t="s">
        <v>37</v>
      </c>
      <c r="R718">
        <v>4</v>
      </c>
    </row>
    <row r="719" spans="1:18" x14ac:dyDescent="0.45">
      <c r="A719" t="s">
        <v>804</v>
      </c>
      <c r="B719" s="3">
        <v>45492</v>
      </c>
      <c r="C719">
        <v>37</v>
      </c>
      <c r="D719" t="s">
        <v>27</v>
      </c>
      <c r="E719">
        <v>69</v>
      </c>
      <c r="F719">
        <v>149.1</v>
      </c>
      <c r="G719" s="4">
        <f t="shared" si="22"/>
        <v>31.038005362827541</v>
      </c>
      <c r="H719" t="s">
        <v>99</v>
      </c>
      <c r="I719" t="s">
        <v>103</v>
      </c>
      <c r="J719">
        <v>115</v>
      </c>
      <c r="K719">
        <v>78</v>
      </c>
      <c r="L719">
        <v>86</v>
      </c>
      <c r="M719">
        <v>1</v>
      </c>
      <c r="N719" s="5">
        <v>1744.83</v>
      </c>
      <c r="O719" t="s">
        <v>57</v>
      </c>
      <c r="P719" t="str">
        <f t="shared" si="23"/>
        <v>Hospital Provincial de Tete</v>
      </c>
      <c r="Q719" t="s">
        <v>24</v>
      </c>
      <c r="R719">
        <v>4</v>
      </c>
    </row>
    <row r="720" spans="1:18" x14ac:dyDescent="0.45">
      <c r="A720" t="s">
        <v>805</v>
      </c>
      <c r="B720" s="3">
        <v>45381</v>
      </c>
      <c r="C720">
        <v>26</v>
      </c>
      <c r="D720" t="s">
        <v>20</v>
      </c>
      <c r="E720">
        <v>64</v>
      </c>
      <c r="F720">
        <v>158.6</v>
      </c>
      <c r="G720" s="4">
        <f t="shared" si="22"/>
        <v>25.443309920187524</v>
      </c>
      <c r="H720" t="s">
        <v>46</v>
      </c>
      <c r="I720" t="s">
        <v>66</v>
      </c>
      <c r="J720">
        <v>101</v>
      </c>
      <c r="K720">
        <v>59</v>
      </c>
      <c r="L720">
        <v>97</v>
      </c>
      <c r="M720">
        <v>2</v>
      </c>
      <c r="N720" s="5">
        <v>6848.72</v>
      </c>
      <c r="O720" t="s">
        <v>23</v>
      </c>
      <c r="P720" t="str">
        <f t="shared" si="23"/>
        <v>Hospital Central de Maputo</v>
      </c>
      <c r="Q720" t="s">
        <v>24</v>
      </c>
      <c r="R720">
        <v>5</v>
      </c>
    </row>
    <row r="721" spans="1:18" x14ac:dyDescent="0.45">
      <c r="A721" t="s">
        <v>806</v>
      </c>
      <c r="B721" s="3">
        <v>45408</v>
      </c>
      <c r="C721">
        <v>33</v>
      </c>
      <c r="D721" t="s">
        <v>27</v>
      </c>
      <c r="E721">
        <v>57.4</v>
      </c>
      <c r="F721">
        <v>181</v>
      </c>
      <c r="G721" s="4">
        <f t="shared" si="22"/>
        <v>17.520832697414608</v>
      </c>
      <c r="H721" t="s">
        <v>21</v>
      </c>
      <c r="I721" t="s">
        <v>89</v>
      </c>
      <c r="J721">
        <v>119</v>
      </c>
      <c r="K721">
        <v>71</v>
      </c>
      <c r="L721">
        <v>65</v>
      </c>
      <c r="M721">
        <v>5</v>
      </c>
      <c r="N721" s="5">
        <v>12709.03</v>
      </c>
      <c r="O721" t="s">
        <v>23</v>
      </c>
      <c r="P721" t="str">
        <f t="shared" si="23"/>
        <v>Hospital Central de Maputo</v>
      </c>
      <c r="Q721" t="s">
        <v>37</v>
      </c>
      <c r="R721">
        <v>5</v>
      </c>
    </row>
    <row r="722" spans="1:18" x14ac:dyDescent="0.45">
      <c r="A722" t="s">
        <v>807</v>
      </c>
      <c r="B722" s="3">
        <v>44967</v>
      </c>
      <c r="C722">
        <v>18</v>
      </c>
      <c r="D722" t="s">
        <v>27</v>
      </c>
      <c r="E722">
        <v>66.7</v>
      </c>
      <c r="F722">
        <v>158.80000000000001</v>
      </c>
      <c r="G722" s="4">
        <f t="shared" si="22"/>
        <v>26.449948924236558</v>
      </c>
      <c r="H722" t="s">
        <v>91</v>
      </c>
      <c r="I722" t="s">
        <v>131</v>
      </c>
      <c r="J722">
        <v>112</v>
      </c>
      <c r="K722">
        <v>73</v>
      </c>
      <c r="L722">
        <v>101</v>
      </c>
      <c r="M722">
        <v>1</v>
      </c>
      <c r="N722" s="5">
        <v>3168.56</v>
      </c>
      <c r="O722" t="s">
        <v>30</v>
      </c>
      <c r="P722" t="str">
        <f t="shared" si="23"/>
        <v>Hospital Provincial de Inhambane</v>
      </c>
      <c r="Q722" t="s">
        <v>37</v>
      </c>
      <c r="R722">
        <v>5</v>
      </c>
    </row>
    <row r="723" spans="1:18" x14ac:dyDescent="0.45">
      <c r="A723" t="s">
        <v>808</v>
      </c>
      <c r="B723" s="3">
        <v>45142</v>
      </c>
      <c r="C723">
        <v>18</v>
      </c>
      <c r="D723" t="s">
        <v>27</v>
      </c>
      <c r="E723">
        <v>68.900000000000006</v>
      </c>
      <c r="F723">
        <v>149.30000000000001</v>
      </c>
      <c r="G723" s="4">
        <f t="shared" si="22"/>
        <v>30.91004280300702</v>
      </c>
      <c r="H723" t="s">
        <v>21</v>
      </c>
      <c r="I723" t="s">
        <v>22</v>
      </c>
      <c r="J723">
        <v>132</v>
      </c>
      <c r="K723">
        <v>71</v>
      </c>
      <c r="L723">
        <v>72</v>
      </c>
      <c r="M723">
        <v>1</v>
      </c>
      <c r="N723" s="5">
        <v>3335.42</v>
      </c>
      <c r="O723" t="s">
        <v>38</v>
      </c>
      <c r="P723" t="str">
        <f t="shared" si="23"/>
        <v>Hospital Provincial de Xai-Xai</v>
      </c>
      <c r="Q723" t="s">
        <v>24</v>
      </c>
      <c r="R723">
        <v>3</v>
      </c>
    </row>
    <row r="724" spans="1:18" x14ac:dyDescent="0.45">
      <c r="A724" t="s">
        <v>809</v>
      </c>
      <c r="B724" s="3">
        <v>45461</v>
      </c>
      <c r="C724">
        <v>59</v>
      </c>
      <c r="D724" t="s">
        <v>27</v>
      </c>
      <c r="E724">
        <v>56.6</v>
      </c>
      <c r="F724">
        <v>149.9</v>
      </c>
      <c r="G724" s="4">
        <f t="shared" si="22"/>
        <v>25.189129866875888</v>
      </c>
      <c r="H724" t="s">
        <v>21</v>
      </c>
      <c r="I724" t="s">
        <v>123</v>
      </c>
      <c r="J724">
        <v>116</v>
      </c>
      <c r="K724">
        <v>80</v>
      </c>
      <c r="L724">
        <v>77</v>
      </c>
      <c r="M724">
        <v>4</v>
      </c>
      <c r="N724" s="5">
        <v>10872.93</v>
      </c>
      <c r="O724" t="s">
        <v>63</v>
      </c>
      <c r="P724" t="str">
        <f t="shared" si="23"/>
        <v>Hospital Central de Nampula</v>
      </c>
      <c r="Q724" t="s">
        <v>24</v>
      </c>
      <c r="R724">
        <v>4</v>
      </c>
    </row>
    <row r="725" spans="1:18" x14ac:dyDescent="0.45">
      <c r="A725" t="s">
        <v>810</v>
      </c>
      <c r="B725" s="3">
        <v>45320</v>
      </c>
      <c r="C725">
        <v>32</v>
      </c>
      <c r="D725" t="s">
        <v>27</v>
      </c>
      <c r="E725">
        <v>51.2</v>
      </c>
      <c r="F725">
        <v>170.1</v>
      </c>
      <c r="G725" s="4">
        <f t="shared" si="22"/>
        <v>17.695438689625121</v>
      </c>
      <c r="H725" t="s">
        <v>46</v>
      </c>
      <c r="I725" t="s">
        <v>47</v>
      </c>
      <c r="J725">
        <v>113</v>
      </c>
      <c r="K725">
        <v>70</v>
      </c>
      <c r="L725">
        <v>75</v>
      </c>
      <c r="M725">
        <v>8</v>
      </c>
      <c r="N725" s="5">
        <v>18788.07</v>
      </c>
      <c r="O725" t="s">
        <v>63</v>
      </c>
      <c r="P725" t="str">
        <f t="shared" si="23"/>
        <v>Hospital Central de Nampula</v>
      </c>
      <c r="Q725" t="s">
        <v>76</v>
      </c>
      <c r="R725">
        <v>4</v>
      </c>
    </row>
    <row r="726" spans="1:18" x14ac:dyDescent="0.45">
      <c r="A726" t="s">
        <v>811</v>
      </c>
      <c r="B726" s="3">
        <v>45528</v>
      </c>
      <c r="C726">
        <v>53</v>
      </c>
      <c r="D726" t="s">
        <v>27</v>
      </c>
      <c r="E726">
        <v>53.6</v>
      </c>
      <c r="F726">
        <v>169.9</v>
      </c>
      <c r="G726" s="4">
        <f t="shared" si="22"/>
        <v>18.568551732643339</v>
      </c>
      <c r="H726" t="s">
        <v>41</v>
      </c>
      <c r="I726" t="s">
        <v>161</v>
      </c>
      <c r="J726">
        <v>128</v>
      </c>
      <c r="K726">
        <v>85</v>
      </c>
      <c r="L726">
        <v>108</v>
      </c>
      <c r="M726">
        <v>1</v>
      </c>
      <c r="N726" s="5">
        <v>4739.32</v>
      </c>
      <c r="O726" t="s">
        <v>38</v>
      </c>
      <c r="P726" t="str">
        <f t="shared" si="23"/>
        <v>Hospital Provincial de Xai-Xai</v>
      </c>
      <c r="Q726" t="s">
        <v>24</v>
      </c>
      <c r="R726">
        <v>3</v>
      </c>
    </row>
    <row r="727" spans="1:18" x14ac:dyDescent="0.45">
      <c r="A727" t="s">
        <v>812</v>
      </c>
      <c r="B727" s="3">
        <v>45049</v>
      </c>
      <c r="C727">
        <v>70</v>
      </c>
      <c r="D727" t="s">
        <v>20</v>
      </c>
      <c r="E727">
        <v>56.8</v>
      </c>
      <c r="F727">
        <v>151.4</v>
      </c>
      <c r="G727" s="4">
        <f t="shared" si="22"/>
        <v>24.779730878162248</v>
      </c>
      <c r="H727" t="s">
        <v>91</v>
      </c>
      <c r="I727" t="s">
        <v>131</v>
      </c>
      <c r="J727">
        <v>147</v>
      </c>
      <c r="K727">
        <v>91</v>
      </c>
      <c r="L727">
        <v>106</v>
      </c>
      <c r="M727">
        <v>9</v>
      </c>
      <c r="N727" s="5">
        <v>25173.56</v>
      </c>
      <c r="O727" t="s">
        <v>23</v>
      </c>
      <c r="P727" t="str">
        <f t="shared" si="23"/>
        <v>Hospital Central de Maputo</v>
      </c>
      <c r="Q727" t="s">
        <v>24</v>
      </c>
      <c r="R727">
        <v>5</v>
      </c>
    </row>
    <row r="728" spans="1:18" x14ac:dyDescent="0.45">
      <c r="A728" t="s">
        <v>813</v>
      </c>
      <c r="B728" s="3">
        <v>45446</v>
      </c>
      <c r="C728">
        <v>17</v>
      </c>
      <c r="D728" t="s">
        <v>20</v>
      </c>
      <c r="E728">
        <v>68</v>
      </c>
      <c r="F728">
        <v>148.6</v>
      </c>
      <c r="G728" s="4">
        <f t="shared" si="22"/>
        <v>30.79436789125603</v>
      </c>
      <c r="H728" t="s">
        <v>28</v>
      </c>
      <c r="I728" t="s">
        <v>29</v>
      </c>
      <c r="J728">
        <v>106</v>
      </c>
      <c r="K728">
        <v>61</v>
      </c>
      <c r="L728">
        <v>82</v>
      </c>
      <c r="M728">
        <v>1</v>
      </c>
      <c r="N728" s="5">
        <v>5338.77</v>
      </c>
      <c r="O728" t="s">
        <v>51</v>
      </c>
      <c r="P728" t="str">
        <f t="shared" si="23"/>
        <v>Hospital Central de Quelimane</v>
      </c>
      <c r="Q728" t="s">
        <v>24</v>
      </c>
      <c r="R728">
        <v>4</v>
      </c>
    </row>
    <row r="729" spans="1:18" x14ac:dyDescent="0.45">
      <c r="A729" t="s">
        <v>814</v>
      </c>
      <c r="B729" s="3">
        <v>45394</v>
      </c>
      <c r="C729">
        <v>21</v>
      </c>
      <c r="D729" t="s">
        <v>20</v>
      </c>
      <c r="E729">
        <v>63.2</v>
      </c>
      <c r="F729">
        <v>155.80000000000001</v>
      </c>
      <c r="G729" s="4">
        <f t="shared" si="22"/>
        <v>26.036474134081249</v>
      </c>
      <c r="H729" t="s">
        <v>21</v>
      </c>
      <c r="I729" t="s">
        <v>22</v>
      </c>
      <c r="J729">
        <v>113</v>
      </c>
      <c r="K729">
        <v>81</v>
      </c>
      <c r="L729">
        <v>68</v>
      </c>
      <c r="M729">
        <v>1</v>
      </c>
      <c r="N729" s="5">
        <v>2840.32</v>
      </c>
      <c r="O729" t="s">
        <v>38</v>
      </c>
      <c r="P729" t="str">
        <f t="shared" si="23"/>
        <v>Hospital Provincial de Xai-Xai</v>
      </c>
      <c r="Q729" t="s">
        <v>24</v>
      </c>
      <c r="R729">
        <v>4</v>
      </c>
    </row>
    <row r="730" spans="1:18" x14ac:dyDescent="0.45">
      <c r="A730" t="s">
        <v>815</v>
      </c>
      <c r="B730" s="3">
        <v>45027</v>
      </c>
      <c r="C730">
        <v>30</v>
      </c>
      <c r="D730" t="s">
        <v>20</v>
      </c>
      <c r="E730">
        <v>51.3</v>
      </c>
      <c r="F730">
        <v>158.6</v>
      </c>
      <c r="G730" s="4">
        <f t="shared" si="22"/>
        <v>20.39440310790031</v>
      </c>
      <c r="H730" t="s">
        <v>91</v>
      </c>
      <c r="I730" t="s">
        <v>92</v>
      </c>
      <c r="J730">
        <v>116</v>
      </c>
      <c r="K730">
        <v>78</v>
      </c>
      <c r="L730">
        <v>103</v>
      </c>
      <c r="M730">
        <v>3</v>
      </c>
      <c r="N730" s="5">
        <v>5399.5</v>
      </c>
      <c r="O730" t="s">
        <v>43</v>
      </c>
      <c r="P730" t="str">
        <f t="shared" si="23"/>
        <v>Hospital Central da Beira</v>
      </c>
      <c r="Q730" t="s">
        <v>37</v>
      </c>
      <c r="R730">
        <v>5</v>
      </c>
    </row>
    <row r="731" spans="1:18" x14ac:dyDescent="0.45">
      <c r="A731" t="s">
        <v>816</v>
      </c>
      <c r="B731" s="3">
        <v>45380</v>
      </c>
      <c r="C731">
        <v>19</v>
      </c>
      <c r="D731" t="s">
        <v>20</v>
      </c>
      <c r="E731">
        <v>63.9</v>
      </c>
      <c r="F731">
        <v>151.69999999999999</v>
      </c>
      <c r="G731" s="4">
        <f t="shared" si="22"/>
        <v>27.767047076660084</v>
      </c>
      <c r="H731" t="s">
        <v>55</v>
      </c>
      <c r="I731" t="s">
        <v>80</v>
      </c>
      <c r="J731">
        <v>119</v>
      </c>
      <c r="K731">
        <v>72</v>
      </c>
      <c r="L731">
        <v>113</v>
      </c>
      <c r="M731">
        <v>1</v>
      </c>
      <c r="N731" s="5">
        <v>4991.1899999999996</v>
      </c>
      <c r="O731" t="s">
        <v>51</v>
      </c>
      <c r="P731" t="str">
        <f t="shared" si="23"/>
        <v>Hospital Central de Quelimane</v>
      </c>
      <c r="Q731" t="s">
        <v>24</v>
      </c>
      <c r="R731">
        <v>4</v>
      </c>
    </row>
    <row r="732" spans="1:18" x14ac:dyDescent="0.45">
      <c r="A732" t="s">
        <v>817</v>
      </c>
      <c r="B732" s="3">
        <v>45276</v>
      </c>
      <c r="C732">
        <v>18</v>
      </c>
      <c r="D732" t="s">
        <v>27</v>
      </c>
      <c r="E732">
        <v>92.7</v>
      </c>
      <c r="F732">
        <v>162.80000000000001</v>
      </c>
      <c r="G732" s="4">
        <f t="shared" si="22"/>
        <v>34.97606384584271</v>
      </c>
      <c r="H732" t="s">
        <v>46</v>
      </c>
      <c r="I732" t="s">
        <v>47</v>
      </c>
      <c r="J732">
        <v>103</v>
      </c>
      <c r="K732">
        <v>58</v>
      </c>
      <c r="L732">
        <v>89</v>
      </c>
      <c r="M732">
        <v>14</v>
      </c>
      <c r="N732" s="5">
        <v>28856.01</v>
      </c>
      <c r="O732" t="s">
        <v>23</v>
      </c>
      <c r="P732" t="str">
        <f t="shared" si="23"/>
        <v>Hospital Central de Maputo</v>
      </c>
      <c r="Q732" t="s">
        <v>24</v>
      </c>
      <c r="R732">
        <v>4</v>
      </c>
    </row>
    <row r="733" spans="1:18" x14ac:dyDescent="0.45">
      <c r="A733" t="s">
        <v>818</v>
      </c>
      <c r="B733" s="3">
        <v>45380</v>
      </c>
      <c r="C733">
        <v>27</v>
      </c>
      <c r="D733" t="s">
        <v>27</v>
      </c>
      <c r="E733">
        <v>64.7</v>
      </c>
      <c r="F733">
        <v>161.6</v>
      </c>
      <c r="G733" s="4">
        <f t="shared" si="22"/>
        <v>24.775450936182732</v>
      </c>
      <c r="H733" t="s">
        <v>46</v>
      </c>
      <c r="I733" t="s">
        <v>47</v>
      </c>
      <c r="J733">
        <v>102</v>
      </c>
      <c r="K733">
        <v>57</v>
      </c>
      <c r="L733">
        <v>88</v>
      </c>
      <c r="M733">
        <v>3</v>
      </c>
      <c r="N733" s="5">
        <v>4940.32</v>
      </c>
      <c r="O733" t="s">
        <v>57</v>
      </c>
      <c r="P733" t="str">
        <f t="shared" si="23"/>
        <v>Hospital Provincial de Tete</v>
      </c>
      <c r="Q733" t="s">
        <v>24</v>
      </c>
      <c r="R733">
        <v>3</v>
      </c>
    </row>
    <row r="734" spans="1:18" x14ac:dyDescent="0.45">
      <c r="A734" t="s">
        <v>819</v>
      </c>
      <c r="B734" s="3">
        <v>45087</v>
      </c>
      <c r="C734">
        <v>45</v>
      </c>
      <c r="D734" t="s">
        <v>20</v>
      </c>
      <c r="E734">
        <v>57.4</v>
      </c>
      <c r="F734">
        <v>145.80000000000001</v>
      </c>
      <c r="G734" s="4">
        <f t="shared" si="22"/>
        <v>27.002056672330504</v>
      </c>
      <c r="H734" t="s">
        <v>46</v>
      </c>
      <c r="I734" t="s">
        <v>94</v>
      </c>
      <c r="J734">
        <v>130</v>
      </c>
      <c r="K734">
        <v>72</v>
      </c>
      <c r="L734">
        <v>94</v>
      </c>
      <c r="M734">
        <v>2</v>
      </c>
      <c r="N734" s="5">
        <v>6450.8</v>
      </c>
      <c r="O734" t="s">
        <v>38</v>
      </c>
      <c r="P734" t="str">
        <f t="shared" si="23"/>
        <v>Hospital Provincial de Xai-Xai</v>
      </c>
      <c r="Q734" t="s">
        <v>202</v>
      </c>
      <c r="R734">
        <v>5</v>
      </c>
    </row>
    <row r="735" spans="1:18" x14ac:dyDescent="0.45">
      <c r="A735" t="s">
        <v>820</v>
      </c>
      <c r="B735" s="3">
        <v>45306</v>
      </c>
      <c r="C735">
        <v>33</v>
      </c>
      <c r="D735" t="s">
        <v>20</v>
      </c>
      <c r="E735">
        <v>52</v>
      </c>
      <c r="F735">
        <v>146.30000000000001</v>
      </c>
      <c r="G735" s="4">
        <f t="shared" si="22"/>
        <v>24.294876257318247</v>
      </c>
      <c r="H735" t="s">
        <v>91</v>
      </c>
      <c r="I735" t="s">
        <v>116</v>
      </c>
      <c r="J735">
        <v>117</v>
      </c>
      <c r="K735">
        <v>67</v>
      </c>
      <c r="L735">
        <v>100</v>
      </c>
      <c r="M735">
        <v>5</v>
      </c>
      <c r="N735" s="5">
        <v>12749.84</v>
      </c>
      <c r="O735" t="s">
        <v>30</v>
      </c>
      <c r="P735" t="str">
        <f t="shared" si="23"/>
        <v>Hospital Provincial de Inhambane</v>
      </c>
      <c r="Q735" t="s">
        <v>37</v>
      </c>
      <c r="R735">
        <v>5</v>
      </c>
    </row>
    <row r="736" spans="1:18" x14ac:dyDescent="0.45">
      <c r="A736" t="s">
        <v>821</v>
      </c>
      <c r="B736" s="3">
        <v>45207</v>
      </c>
      <c r="C736">
        <v>30</v>
      </c>
      <c r="D736" t="s">
        <v>27</v>
      </c>
      <c r="E736">
        <v>60.8</v>
      </c>
      <c r="F736">
        <v>175.7</v>
      </c>
      <c r="G736" s="4">
        <f t="shared" si="22"/>
        <v>19.69518462453949</v>
      </c>
      <c r="H736" t="s">
        <v>99</v>
      </c>
      <c r="I736" t="s">
        <v>151</v>
      </c>
      <c r="J736">
        <v>123</v>
      </c>
      <c r="K736">
        <v>71</v>
      </c>
      <c r="L736">
        <v>117</v>
      </c>
      <c r="M736">
        <v>1</v>
      </c>
      <c r="N736" s="5">
        <v>3406.24</v>
      </c>
      <c r="O736" t="s">
        <v>31</v>
      </c>
      <c r="P736" t="str">
        <f t="shared" si="23"/>
        <v>Hospital Provincial da Matola</v>
      </c>
      <c r="Q736" t="s">
        <v>24</v>
      </c>
      <c r="R736">
        <v>5</v>
      </c>
    </row>
    <row r="737" spans="1:18" x14ac:dyDescent="0.45">
      <c r="A737" t="s">
        <v>822</v>
      </c>
      <c r="B737" s="3">
        <v>45036</v>
      </c>
      <c r="C737">
        <v>10</v>
      </c>
      <c r="D737" t="s">
        <v>20</v>
      </c>
      <c r="E737">
        <v>19.2</v>
      </c>
      <c r="F737">
        <v>135</v>
      </c>
      <c r="G737" s="4">
        <f t="shared" si="22"/>
        <v>10.534979423868311</v>
      </c>
      <c r="H737" t="s">
        <v>28</v>
      </c>
      <c r="I737" t="s">
        <v>73</v>
      </c>
      <c r="J737">
        <v>131</v>
      </c>
      <c r="K737">
        <v>76</v>
      </c>
      <c r="L737">
        <v>90</v>
      </c>
      <c r="M737">
        <v>12</v>
      </c>
      <c r="N737" s="5">
        <v>31673.61</v>
      </c>
      <c r="O737" t="s">
        <v>36</v>
      </c>
      <c r="P737" t="str">
        <f t="shared" si="23"/>
        <v>Hospital Provincial de Lichinga</v>
      </c>
      <c r="Q737" t="s">
        <v>24</v>
      </c>
      <c r="R737">
        <v>2</v>
      </c>
    </row>
    <row r="738" spans="1:18" x14ac:dyDescent="0.45">
      <c r="A738" t="s">
        <v>823</v>
      </c>
      <c r="B738" s="3">
        <v>44984</v>
      </c>
      <c r="C738">
        <v>11</v>
      </c>
      <c r="D738" t="s">
        <v>27</v>
      </c>
      <c r="E738">
        <v>28.3</v>
      </c>
      <c r="F738">
        <v>81.599999999999994</v>
      </c>
      <c r="G738" s="4">
        <f t="shared" si="22"/>
        <v>42.501682045367176</v>
      </c>
      <c r="H738" t="s">
        <v>28</v>
      </c>
      <c r="I738" t="s">
        <v>73</v>
      </c>
      <c r="J738">
        <v>101</v>
      </c>
      <c r="K738">
        <v>69</v>
      </c>
      <c r="L738">
        <v>109</v>
      </c>
      <c r="M738">
        <v>1</v>
      </c>
      <c r="N738" s="5">
        <v>4565.7700000000004</v>
      </c>
      <c r="O738" t="s">
        <v>31</v>
      </c>
      <c r="P738" t="str">
        <f t="shared" si="23"/>
        <v>Hospital Provincial da Matola</v>
      </c>
      <c r="Q738" t="s">
        <v>24</v>
      </c>
      <c r="R738">
        <v>3</v>
      </c>
    </row>
    <row r="739" spans="1:18" x14ac:dyDescent="0.45">
      <c r="A739" t="s">
        <v>824</v>
      </c>
      <c r="B739" s="3">
        <v>45131</v>
      </c>
      <c r="C739">
        <v>27</v>
      </c>
      <c r="D739" t="s">
        <v>20</v>
      </c>
      <c r="E739">
        <v>43.3</v>
      </c>
      <c r="F739">
        <v>173</v>
      </c>
      <c r="G739" s="4">
        <f t="shared" si="22"/>
        <v>14.46757325670754</v>
      </c>
      <c r="H739" t="s">
        <v>41</v>
      </c>
      <c r="I739" t="s">
        <v>42</v>
      </c>
      <c r="J739">
        <v>103</v>
      </c>
      <c r="K739">
        <v>62</v>
      </c>
      <c r="L739">
        <v>79</v>
      </c>
      <c r="M739">
        <v>5</v>
      </c>
      <c r="N739" s="5">
        <v>17281.02</v>
      </c>
      <c r="O739" t="s">
        <v>51</v>
      </c>
      <c r="P739" t="str">
        <f t="shared" si="23"/>
        <v>Hospital Central de Quelimane</v>
      </c>
      <c r="Q739" t="s">
        <v>202</v>
      </c>
      <c r="R739">
        <v>4</v>
      </c>
    </row>
    <row r="740" spans="1:18" x14ac:dyDescent="0.45">
      <c r="A740" t="s">
        <v>825</v>
      </c>
      <c r="B740" s="3">
        <v>45383</v>
      </c>
      <c r="C740">
        <v>14</v>
      </c>
      <c r="D740" t="s">
        <v>20</v>
      </c>
      <c r="E740">
        <v>66.599999999999994</v>
      </c>
      <c r="F740">
        <v>155.1</v>
      </c>
      <c r="G740" s="4">
        <f t="shared" si="22"/>
        <v>27.685389222901055</v>
      </c>
      <c r="H740" t="s">
        <v>28</v>
      </c>
      <c r="I740" t="s">
        <v>75</v>
      </c>
      <c r="J740">
        <v>97</v>
      </c>
      <c r="K740">
        <v>55</v>
      </c>
      <c r="L740">
        <v>86</v>
      </c>
      <c r="M740">
        <v>1</v>
      </c>
      <c r="N740" s="5">
        <v>3047.55</v>
      </c>
      <c r="O740" t="s">
        <v>43</v>
      </c>
      <c r="P740" t="str">
        <f t="shared" si="23"/>
        <v>Hospital Central da Beira</v>
      </c>
      <c r="Q740" t="s">
        <v>24</v>
      </c>
      <c r="R740">
        <v>2</v>
      </c>
    </row>
    <row r="741" spans="1:18" x14ac:dyDescent="0.45">
      <c r="A741" t="s">
        <v>826</v>
      </c>
      <c r="B741" s="3">
        <v>45468</v>
      </c>
      <c r="C741">
        <v>66</v>
      </c>
      <c r="D741" t="s">
        <v>20</v>
      </c>
      <c r="E741">
        <v>65.3</v>
      </c>
      <c r="F741">
        <v>172.6</v>
      </c>
      <c r="G741" s="4">
        <f t="shared" si="22"/>
        <v>21.919548208907727</v>
      </c>
      <c r="H741" t="s">
        <v>34</v>
      </c>
      <c r="I741" t="s">
        <v>126</v>
      </c>
      <c r="J741">
        <v>140</v>
      </c>
      <c r="K741">
        <v>88</v>
      </c>
      <c r="L741">
        <v>102</v>
      </c>
      <c r="M741">
        <v>2</v>
      </c>
      <c r="N741" s="5">
        <v>7010.71</v>
      </c>
      <c r="O741" t="s">
        <v>51</v>
      </c>
      <c r="P741" t="str">
        <f t="shared" si="23"/>
        <v>Hospital Central de Quelimane</v>
      </c>
      <c r="Q741" t="s">
        <v>24</v>
      </c>
      <c r="R741">
        <v>5</v>
      </c>
    </row>
    <row r="742" spans="1:18" x14ac:dyDescent="0.45">
      <c r="A742" t="s">
        <v>827</v>
      </c>
      <c r="B742" s="3">
        <v>45042</v>
      </c>
      <c r="C742">
        <v>18</v>
      </c>
      <c r="D742" t="s">
        <v>20</v>
      </c>
      <c r="E742">
        <v>58</v>
      </c>
      <c r="F742">
        <v>154</v>
      </c>
      <c r="G742" s="4">
        <f t="shared" si="22"/>
        <v>24.456063417102378</v>
      </c>
      <c r="H742" t="s">
        <v>46</v>
      </c>
      <c r="I742" t="s">
        <v>47</v>
      </c>
      <c r="J742">
        <v>102</v>
      </c>
      <c r="K742">
        <v>60</v>
      </c>
      <c r="L742">
        <v>112</v>
      </c>
      <c r="M742">
        <v>6</v>
      </c>
      <c r="N742" s="5">
        <v>15183.87</v>
      </c>
      <c r="O742" t="s">
        <v>36</v>
      </c>
      <c r="P742" t="str">
        <f t="shared" si="23"/>
        <v>Hospital Provincial de Lichinga</v>
      </c>
      <c r="Q742" t="s">
        <v>24</v>
      </c>
      <c r="R742">
        <v>4</v>
      </c>
    </row>
    <row r="743" spans="1:18" x14ac:dyDescent="0.45">
      <c r="A743" t="s">
        <v>828</v>
      </c>
      <c r="B743" s="3">
        <v>45113</v>
      </c>
      <c r="C743">
        <v>49</v>
      </c>
      <c r="D743" t="s">
        <v>27</v>
      </c>
      <c r="E743">
        <v>56.2</v>
      </c>
      <c r="F743">
        <v>170</v>
      </c>
      <c r="G743" s="4">
        <f t="shared" si="22"/>
        <v>19.446366782006923</v>
      </c>
      <c r="H743" t="s">
        <v>41</v>
      </c>
      <c r="I743" t="s">
        <v>161</v>
      </c>
      <c r="J743">
        <v>115</v>
      </c>
      <c r="K743">
        <v>79</v>
      </c>
      <c r="L743">
        <v>89</v>
      </c>
      <c r="M743">
        <v>1</v>
      </c>
      <c r="N743" s="5">
        <v>4498.42</v>
      </c>
      <c r="O743" t="s">
        <v>57</v>
      </c>
      <c r="P743" t="str">
        <f t="shared" si="23"/>
        <v>Hospital Provincial de Tete</v>
      </c>
      <c r="Q743" t="s">
        <v>24</v>
      </c>
      <c r="R743">
        <v>4</v>
      </c>
    </row>
    <row r="744" spans="1:18" x14ac:dyDescent="0.45">
      <c r="A744" t="s">
        <v>829</v>
      </c>
      <c r="B744" s="3">
        <v>45596</v>
      </c>
      <c r="C744">
        <v>39</v>
      </c>
      <c r="D744" t="s">
        <v>20</v>
      </c>
      <c r="E744">
        <v>52.2</v>
      </c>
      <c r="F744">
        <v>174.2</v>
      </c>
      <c r="G744" s="4">
        <f t="shared" si="22"/>
        <v>17.201812187846425</v>
      </c>
      <c r="H744" t="s">
        <v>46</v>
      </c>
      <c r="I744" t="s">
        <v>108</v>
      </c>
      <c r="J744">
        <v>108</v>
      </c>
      <c r="K744">
        <v>65</v>
      </c>
      <c r="L744">
        <v>99</v>
      </c>
      <c r="M744">
        <v>1</v>
      </c>
      <c r="N744" s="5">
        <v>5654.8</v>
      </c>
      <c r="O744" t="s">
        <v>23</v>
      </c>
      <c r="P744" t="str">
        <f t="shared" si="23"/>
        <v>Hospital Central de Maputo</v>
      </c>
      <c r="Q744" t="s">
        <v>24</v>
      </c>
      <c r="R744">
        <v>4</v>
      </c>
    </row>
    <row r="745" spans="1:18" x14ac:dyDescent="0.45">
      <c r="A745" t="s">
        <v>830</v>
      </c>
      <c r="B745" s="3">
        <v>44997</v>
      </c>
      <c r="C745">
        <v>32</v>
      </c>
      <c r="D745" t="s">
        <v>27</v>
      </c>
      <c r="E745">
        <v>57.2</v>
      </c>
      <c r="F745">
        <v>159.69999999999999</v>
      </c>
      <c r="G745" s="4">
        <f t="shared" si="22"/>
        <v>22.427775309764044</v>
      </c>
      <c r="H745" t="s">
        <v>99</v>
      </c>
      <c r="I745" t="s">
        <v>103</v>
      </c>
      <c r="J745">
        <v>131</v>
      </c>
      <c r="K745">
        <v>96</v>
      </c>
      <c r="L745">
        <v>93</v>
      </c>
      <c r="M745">
        <v>5</v>
      </c>
      <c r="N745" s="5">
        <v>8134.59</v>
      </c>
      <c r="O745" t="s">
        <v>67</v>
      </c>
      <c r="P745" t="str">
        <f t="shared" si="23"/>
        <v>Hospital Provincial de Pemba</v>
      </c>
      <c r="Q745" t="s">
        <v>24</v>
      </c>
      <c r="R745">
        <v>5</v>
      </c>
    </row>
    <row r="746" spans="1:18" x14ac:dyDescent="0.45">
      <c r="A746" t="s">
        <v>831</v>
      </c>
      <c r="B746" s="3">
        <v>44953</v>
      </c>
      <c r="C746">
        <v>44</v>
      </c>
      <c r="D746" t="s">
        <v>27</v>
      </c>
      <c r="E746">
        <v>72.900000000000006</v>
      </c>
      <c r="F746">
        <v>155.80000000000001</v>
      </c>
      <c r="G746" s="4">
        <f t="shared" si="22"/>
        <v>30.032578550229797</v>
      </c>
      <c r="H746" t="s">
        <v>99</v>
      </c>
      <c r="I746" t="s">
        <v>103</v>
      </c>
      <c r="J746">
        <v>111</v>
      </c>
      <c r="K746">
        <v>71</v>
      </c>
      <c r="L746">
        <v>66</v>
      </c>
      <c r="M746">
        <v>1</v>
      </c>
      <c r="N746" s="5">
        <v>4733.8999999999996</v>
      </c>
      <c r="O746" t="s">
        <v>51</v>
      </c>
      <c r="P746" t="str">
        <f t="shared" si="23"/>
        <v>Hospital Central de Quelimane</v>
      </c>
      <c r="Q746" t="s">
        <v>24</v>
      </c>
      <c r="R746">
        <v>5</v>
      </c>
    </row>
    <row r="747" spans="1:18" x14ac:dyDescent="0.45">
      <c r="A747" t="s">
        <v>832</v>
      </c>
      <c r="B747" s="3">
        <v>45050</v>
      </c>
      <c r="C747">
        <v>59</v>
      </c>
      <c r="D747" t="s">
        <v>27</v>
      </c>
      <c r="E747">
        <v>53.5</v>
      </c>
      <c r="F747">
        <v>163</v>
      </c>
      <c r="G747" s="4">
        <f t="shared" si="22"/>
        <v>20.136249012006473</v>
      </c>
      <c r="H747" t="s">
        <v>46</v>
      </c>
      <c r="I747" t="s">
        <v>108</v>
      </c>
      <c r="J747">
        <v>136</v>
      </c>
      <c r="K747">
        <v>100</v>
      </c>
      <c r="L747">
        <v>97</v>
      </c>
      <c r="M747">
        <v>1</v>
      </c>
      <c r="N747" s="5">
        <v>3174.14</v>
      </c>
      <c r="O747" t="s">
        <v>23</v>
      </c>
      <c r="P747" t="str">
        <f t="shared" si="23"/>
        <v>Hospital Central de Maputo</v>
      </c>
      <c r="Q747" t="s">
        <v>37</v>
      </c>
      <c r="R747">
        <v>4</v>
      </c>
    </row>
    <row r="748" spans="1:18" x14ac:dyDescent="0.45">
      <c r="A748" t="s">
        <v>833</v>
      </c>
      <c r="B748" s="3">
        <v>45029</v>
      </c>
      <c r="C748">
        <v>22</v>
      </c>
      <c r="D748" t="s">
        <v>27</v>
      </c>
      <c r="E748">
        <v>53</v>
      </c>
      <c r="F748">
        <v>168</v>
      </c>
      <c r="G748" s="4">
        <f t="shared" si="22"/>
        <v>18.778344671201818</v>
      </c>
      <c r="H748" t="s">
        <v>91</v>
      </c>
      <c r="I748" t="s">
        <v>116</v>
      </c>
      <c r="J748">
        <v>114</v>
      </c>
      <c r="K748">
        <v>66</v>
      </c>
      <c r="L748">
        <v>95</v>
      </c>
      <c r="M748">
        <v>4</v>
      </c>
      <c r="N748" s="5">
        <v>9246.33</v>
      </c>
      <c r="O748" t="s">
        <v>67</v>
      </c>
      <c r="P748" t="str">
        <f t="shared" si="23"/>
        <v>Hospital Provincial de Pemba</v>
      </c>
      <c r="Q748" t="s">
        <v>24</v>
      </c>
      <c r="R748">
        <v>4</v>
      </c>
    </row>
    <row r="749" spans="1:18" x14ac:dyDescent="0.45">
      <c r="A749" t="s">
        <v>834</v>
      </c>
      <c r="B749" s="3">
        <v>45258</v>
      </c>
      <c r="C749">
        <v>7</v>
      </c>
      <c r="D749" t="s">
        <v>20</v>
      </c>
      <c r="E749">
        <v>19.2</v>
      </c>
      <c r="F749">
        <v>105</v>
      </c>
      <c r="G749" s="4">
        <f t="shared" si="22"/>
        <v>17.414965986394556</v>
      </c>
      <c r="H749" t="s">
        <v>28</v>
      </c>
      <c r="I749" t="s">
        <v>75</v>
      </c>
      <c r="J749">
        <v>100</v>
      </c>
      <c r="K749">
        <v>67</v>
      </c>
      <c r="L749">
        <v>109</v>
      </c>
      <c r="M749">
        <v>5</v>
      </c>
      <c r="N749" s="5">
        <v>8290.9699999999993</v>
      </c>
      <c r="O749" t="s">
        <v>63</v>
      </c>
      <c r="P749" t="str">
        <f t="shared" si="23"/>
        <v>Hospital Central de Nampula</v>
      </c>
      <c r="Q749" t="s">
        <v>24</v>
      </c>
      <c r="R749">
        <v>4</v>
      </c>
    </row>
    <row r="750" spans="1:18" x14ac:dyDescent="0.45">
      <c r="A750" t="s">
        <v>835</v>
      </c>
      <c r="B750" s="3">
        <v>45351</v>
      </c>
      <c r="C750">
        <v>47</v>
      </c>
      <c r="D750" t="s">
        <v>20</v>
      </c>
      <c r="E750">
        <v>62.9</v>
      </c>
      <c r="F750">
        <v>172.7</v>
      </c>
      <c r="G750" s="4">
        <f t="shared" si="22"/>
        <v>21.089484796292009</v>
      </c>
      <c r="H750" t="s">
        <v>91</v>
      </c>
      <c r="I750" t="s">
        <v>110</v>
      </c>
      <c r="J750">
        <v>96</v>
      </c>
      <c r="K750">
        <v>64</v>
      </c>
      <c r="L750">
        <v>124</v>
      </c>
      <c r="M750">
        <v>1</v>
      </c>
      <c r="N750" s="5">
        <v>3415.88</v>
      </c>
      <c r="O750" t="s">
        <v>38</v>
      </c>
      <c r="P750" t="str">
        <f t="shared" si="23"/>
        <v>Hospital Provincial de Xai-Xai</v>
      </c>
      <c r="Q750" t="s">
        <v>24</v>
      </c>
      <c r="R750">
        <v>5</v>
      </c>
    </row>
    <row r="751" spans="1:18" x14ac:dyDescent="0.45">
      <c r="A751" t="s">
        <v>836</v>
      </c>
      <c r="B751" s="3">
        <v>45198</v>
      </c>
      <c r="C751">
        <v>42</v>
      </c>
      <c r="D751" t="s">
        <v>27</v>
      </c>
      <c r="E751">
        <v>87.8</v>
      </c>
      <c r="F751">
        <v>163.30000000000001</v>
      </c>
      <c r="G751" s="4">
        <f t="shared" si="22"/>
        <v>32.924724255434363</v>
      </c>
      <c r="H751" t="s">
        <v>21</v>
      </c>
      <c r="I751" t="s">
        <v>89</v>
      </c>
      <c r="J751">
        <v>146</v>
      </c>
      <c r="K751">
        <v>92</v>
      </c>
      <c r="L751">
        <v>87</v>
      </c>
      <c r="M751">
        <v>1</v>
      </c>
      <c r="N751" s="5">
        <v>4504.7</v>
      </c>
      <c r="O751" t="s">
        <v>31</v>
      </c>
      <c r="P751" t="str">
        <f t="shared" si="23"/>
        <v>Hospital Provincial da Matola</v>
      </c>
      <c r="Q751" t="s">
        <v>24</v>
      </c>
      <c r="R751">
        <v>5</v>
      </c>
    </row>
    <row r="752" spans="1:18" x14ac:dyDescent="0.45">
      <c r="A752" t="s">
        <v>837</v>
      </c>
      <c r="B752" s="3">
        <v>45021</v>
      </c>
      <c r="C752">
        <v>52</v>
      </c>
      <c r="D752" t="s">
        <v>27</v>
      </c>
      <c r="E752">
        <v>73.2</v>
      </c>
      <c r="F752">
        <v>169.6</v>
      </c>
      <c r="G752" s="4">
        <f t="shared" si="22"/>
        <v>25.448335706657176</v>
      </c>
      <c r="H752" t="s">
        <v>34</v>
      </c>
      <c r="I752" t="s">
        <v>35</v>
      </c>
      <c r="J752">
        <v>109</v>
      </c>
      <c r="K752">
        <v>72</v>
      </c>
      <c r="L752">
        <v>109</v>
      </c>
      <c r="M752">
        <v>4</v>
      </c>
      <c r="N752" s="5">
        <v>8520.57</v>
      </c>
      <c r="O752" t="s">
        <v>63</v>
      </c>
      <c r="P752" t="str">
        <f t="shared" si="23"/>
        <v>Hospital Central de Nampula</v>
      </c>
      <c r="Q752" t="s">
        <v>24</v>
      </c>
      <c r="R752">
        <v>4</v>
      </c>
    </row>
    <row r="753" spans="1:18" x14ac:dyDescent="0.45">
      <c r="A753" t="s">
        <v>838</v>
      </c>
      <c r="B753" s="3">
        <v>45301</v>
      </c>
      <c r="C753">
        <v>37</v>
      </c>
      <c r="D753" t="s">
        <v>20</v>
      </c>
      <c r="E753">
        <v>74.2</v>
      </c>
      <c r="F753">
        <v>145.4</v>
      </c>
      <c r="G753" s="4">
        <f t="shared" si="22"/>
        <v>35.09741187333146</v>
      </c>
      <c r="H753" t="s">
        <v>41</v>
      </c>
      <c r="I753" t="s">
        <v>113</v>
      </c>
      <c r="J753">
        <v>150</v>
      </c>
      <c r="K753">
        <v>94</v>
      </c>
      <c r="L753">
        <v>80</v>
      </c>
      <c r="M753">
        <v>4</v>
      </c>
      <c r="N753" s="5">
        <v>13260.84</v>
      </c>
      <c r="O753" t="s">
        <v>38</v>
      </c>
      <c r="P753" t="str">
        <f t="shared" si="23"/>
        <v>Hospital Provincial de Xai-Xai</v>
      </c>
      <c r="Q753" t="s">
        <v>24</v>
      </c>
      <c r="R753">
        <v>3</v>
      </c>
    </row>
    <row r="754" spans="1:18" x14ac:dyDescent="0.45">
      <c r="A754" t="s">
        <v>839</v>
      </c>
      <c r="B754" s="3">
        <v>45183</v>
      </c>
      <c r="C754">
        <v>29</v>
      </c>
      <c r="D754" t="s">
        <v>20</v>
      </c>
      <c r="E754">
        <v>56.9</v>
      </c>
      <c r="F754">
        <v>176.4</v>
      </c>
      <c r="G754" s="4">
        <f t="shared" si="22"/>
        <v>18.285847974866439</v>
      </c>
      <c r="H754" t="s">
        <v>46</v>
      </c>
      <c r="I754" t="s">
        <v>66</v>
      </c>
      <c r="J754">
        <v>98</v>
      </c>
      <c r="K754">
        <v>55</v>
      </c>
      <c r="L754">
        <v>71</v>
      </c>
      <c r="M754">
        <v>5</v>
      </c>
      <c r="N754" s="5">
        <v>7922.9</v>
      </c>
      <c r="O754" t="s">
        <v>51</v>
      </c>
      <c r="P754" t="str">
        <f t="shared" si="23"/>
        <v>Hospital Central de Quelimane</v>
      </c>
      <c r="Q754" t="s">
        <v>24</v>
      </c>
      <c r="R754">
        <v>5</v>
      </c>
    </row>
    <row r="755" spans="1:18" x14ac:dyDescent="0.45">
      <c r="A755" t="s">
        <v>840</v>
      </c>
      <c r="B755" s="3">
        <v>44962</v>
      </c>
      <c r="C755">
        <v>50</v>
      </c>
      <c r="D755" t="s">
        <v>27</v>
      </c>
      <c r="E755">
        <v>66</v>
      </c>
      <c r="F755">
        <v>140</v>
      </c>
      <c r="G755" s="4">
        <f t="shared" si="22"/>
        <v>33.673469387755105</v>
      </c>
      <c r="H755" t="s">
        <v>46</v>
      </c>
      <c r="I755" t="s">
        <v>47</v>
      </c>
      <c r="J755">
        <v>122</v>
      </c>
      <c r="K755">
        <v>76</v>
      </c>
      <c r="L755">
        <v>80</v>
      </c>
      <c r="M755">
        <v>1</v>
      </c>
      <c r="N755" s="5">
        <v>4315.72</v>
      </c>
      <c r="O755" t="s">
        <v>30</v>
      </c>
      <c r="P755" t="str">
        <f t="shared" si="23"/>
        <v>Hospital Provincial de Inhambane</v>
      </c>
      <c r="Q755" t="s">
        <v>24</v>
      </c>
      <c r="R755">
        <v>5</v>
      </c>
    </row>
    <row r="756" spans="1:18" x14ac:dyDescent="0.45">
      <c r="A756" t="s">
        <v>841</v>
      </c>
      <c r="B756" s="3">
        <v>45518</v>
      </c>
      <c r="C756">
        <v>43</v>
      </c>
      <c r="D756" t="s">
        <v>27</v>
      </c>
      <c r="E756">
        <v>71.2</v>
      </c>
      <c r="F756">
        <v>175.2</v>
      </c>
      <c r="G756" s="4">
        <f t="shared" si="22"/>
        <v>23.195930026479854</v>
      </c>
      <c r="H756" t="s">
        <v>41</v>
      </c>
      <c r="I756" t="s">
        <v>161</v>
      </c>
      <c r="J756">
        <v>123</v>
      </c>
      <c r="K756">
        <v>77</v>
      </c>
      <c r="L756">
        <v>65</v>
      </c>
      <c r="M756">
        <v>1</v>
      </c>
      <c r="N756" s="5">
        <v>4344.1899999999996</v>
      </c>
      <c r="O756" t="s">
        <v>63</v>
      </c>
      <c r="P756" t="str">
        <f t="shared" si="23"/>
        <v>Hospital Central de Nampula</v>
      </c>
      <c r="Q756" t="s">
        <v>24</v>
      </c>
      <c r="R756">
        <v>4</v>
      </c>
    </row>
    <row r="757" spans="1:18" x14ac:dyDescent="0.45">
      <c r="A757" t="s">
        <v>842</v>
      </c>
      <c r="B757" s="3">
        <v>45606</v>
      </c>
      <c r="C757">
        <v>26</v>
      </c>
      <c r="D757" t="s">
        <v>20</v>
      </c>
      <c r="E757">
        <v>66.5</v>
      </c>
      <c r="F757">
        <v>172.1</v>
      </c>
      <c r="G757" s="4">
        <f t="shared" si="22"/>
        <v>22.452251825806993</v>
      </c>
      <c r="H757" t="s">
        <v>46</v>
      </c>
      <c r="I757" t="s">
        <v>47</v>
      </c>
      <c r="J757">
        <v>97</v>
      </c>
      <c r="K757">
        <v>67</v>
      </c>
      <c r="L757">
        <v>92</v>
      </c>
      <c r="M757">
        <v>1</v>
      </c>
      <c r="N757" s="5">
        <v>6315.94</v>
      </c>
      <c r="O757" t="s">
        <v>23</v>
      </c>
      <c r="P757" t="str">
        <f t="shared" si="23"/>
        <v>Hospital Central de Maputo</v>
      </c>
      <c r="Q757" t="s">
        <v>24</v>
      </c>
      <c r="R757">
        <v>3</v>
      </c>
    </row>
    <row r="758" spans="1:18" x14ac:dyDescent="0.45">
      <c r="A758" t="s">
        <v>843</v>
      </c>
      <c r="B758" s="3">
        <v>45282</v>
      </c>
      <c r="C758">
        <v>18</v>
      </c>
      <c r="D758" t="s">
        <v>27</v>
      </c>
      <c r="E758">
        <v>41.1</v>
      </c>
      <c r="F758">
        <v>156</v>
      </c>
      <c r="G758" s="4">
        <f t="shared" si="22"/>
        <v>16.888560157790927</v>
      </c>
      <c r="H758" t="s">
        <v>41</v>
      </c>
      <c r="I758" t="s">
        <v>113</v>
      </c>
      <c r="J758">
        <v>149</v>
      </c>
      <c r="K758">
        <v>96</v>
      </c>
      <c r="L758">
        <v>87</v>
      </c>
      <c r="M758">
        <v>7</v>
      </c>
      <c r="N758" s="5">
        <v>10523.73</v>
      </c>
      <c r="O758" t="s">
        <v>51</v>
      </c>
      <c r="P758" t="str">
        <f t="shared" si="23"/>
        <v>Hospital Central de Quelimane</v>
      </c>
      <c r="Q758" t="s">
        <v>24</v>
      </c>
      <c r="R758">
        <v>4</v>
      </c>
    </row>
    <row r="759" spans="1:18" x14ac:dyDescent="0.45">
      <c r="A759" t="s">
        <v>844</v>
      </c>
      <c r="B759" s="3">
        <v>45082</v>
      </c>
      <c r="C759">
        <v>23</v>
      </c>
      <c r="D759" t="s">
        <v>27</v>
      </c>
      <c r="E759">
        <v>60.1</v>
      </c>
      <c r="F759">
        <v>167.9</v>
      </c>
      <c r="G759" s="4">
        <f t="shared" si="22"/>
        <v>21.319306813912956</v>
      </c>
      <c r="H759" t="s">
        <v>99</v>
      </c>
      <c r="I759" t="s">
        <v>103</v>
      </c>
      <c r="J759">
        <v>113</v>
      </c>
      <c r="K759">
        <v>74</v>
      </c>
      <c r="L759">
        <v>110</v>
      </c>
      <c r="M759">
        <v>3</v>
      </c>
      <c r="N759" s="5">
        <v>11446.77</v>
      </c>
      <c r="O759" t="s">
        <v>31</v>
      </c>
      <c r="P759" t="str">
        <f t="shared" si="23"/>
        <v>Hospital Provincial da Matola</v>
      </c>
      <c r="Q759" t="s">
        <v>202</v>
      </c>
      <c r="R759">
        <v>4</v>
      </c>
    </row>
    <row r="760" spans="1:18" x14ac:dyDescent="0.45">
      <c r="A760" t="s">
        <v>845</v>
      </c>
      <c r="B760" s="3">
        <v>45134</v>
      </c>
      <c r="C760">
        <v>54</v>
      </c>
      <c r="D760" t="s">
        <v>27</v>
      </c>
      <c r="E760">
        <v>90.1</v>
      </c>
      <c r="F760">
        <v>161.19999999999999</v>
      </c>
      <c r="G760" s="4">
        <f t="shared" si="22"/>
        <v>34.673263181227647</v>
      </c>
      <c r="H760" t="s">
        <v>21</v>
      </c>
      <c r="I760" t="s">
        <v>89</v>
      </c>
      <c r="J760">
        <v>127</v>
      </c>
      <c r="K760">
        <v>84</v>
      </c>
      <c r="L760">
        <v>78</v>
      </c>
      <c r="M760">
        <v>1</v>
      </c>
      <c r="N760" s="5">
        <v>3658.83</v>
      </c>
      <c r="O760" t="s">
        <v>38</v>
      </c>
      <c r="P760" t="str">
        <f t="shared" si="23"/>
        <v>Hospital Provincial de Xai-Xai</v>
      </c>
      <c r="Q760" t="s">
        <v>24</v>
      </c>
      <c r="R760">
        <v>4</v>
      </c>
    </row>
    <row r="761" spans="1:18" x14ac:dyDescent="0.45">
      <c r="A761" t="s">
        <v>846</v>
      </c>
      <c r="B761" s="3">
        <v>45554</v>
      </c>
      <c r="C761">
        <v>29</v>
      </c>
      <c r="D761" t="s">
        <v>20</v>
      </c>
      <c r="E761">
        <v>66</v>
      </c>
      <c r="F761">
        <v>165.7</v>
      </c>
      <c r="G761" s="4">
        <f t="shared" si="22"/>
        <v>24.038032538026535</v>
      </c>
      <c r="H761" t="s">
        <v>21</v>
      </c>
      <c r="I761" t="s">
        <v>70</v>
      </c>
      <c r="J761">
        <v>89</v>
      </c>
      <c r="K761">
        <v>59</v>
      </c>
      <c r="L761">
        <v>94</v>
      </c>
      <c r="M761">
        <v>6</v>
      </c>
      <c r="N761" s="5">
        <v>16128.07</v>
      </c>
      <c r="O761" t="s">
        <v>31</v>
      </c>
      <c r="P761" t="str">
        <f t="shared" si="23"/>
        <v>Hospital Provincial da Matola</v>
      </c>
      <c r="Q761" t="s">
        <v>37</v>
      </c>
      <c r="R761">
        <v>2</v>
      </c>
    </row>
    <row r="762" spans="1:18" x14ac:dyDescent="0.45">
      <c r="A762" t="s">
        <v>847</v>
      </c>
      <c r="B762" s="3">
        <v>45209</v>
      </c>
      <c r="C762">
        <v>36</v>
      </c>
      <c r="D762" t="s">
        <v>27</v>
      </c>
      <c r="E762">
        <v>65.8</v>
      </c>
      <c r="F762">
        <v>173.3</v>
      </c>
      <c r="G762" s="4">
        <f t="shared" si="22"/>
        <v>21.909313422717556</v>
      </c>
      <c r="H762" t="s">
        <v>99</v>
      </c>
      <c r="I762" t="s">
        <v>103</v>
      </c>
      <c r="J762">
        <v>120</v>
      </c>
      <c r="K762">
        <v>73</v>
      </c>
      <c r="L762">
        <v>105</v>
      </c>
      <c r="M762">
        <v>4</v>
      </c>
      <c r="N762" s="5">
        <v>10614.85</v>
      </c>
      <c r="O762" t="s">
        <v>63</v>
      </c>
      <c r="P762" t="str">
        <f t="shared" si="23"/>
        <v>Hospital Central de Nampula</v>
      </c>
      <c r="Q762" t="s">
        <v>24</v>
      </c>
      <c r="R762">
        <v>3</v>
      </c>
    </row>
    <row r="763" spans="1:18" x14ac:dyDescent="0.45">
      <c r="A763" t="s">
        <v>848</v>
      </c>
      <c r="B763" s="3">
        <v>45375</v>
      </c>
      <c r="C763">
        <v>16</v>
      </c>
      <c r="D763" t="s">
        <v>27</v>
      </c>
      <c r="E763">
        <v>94.1</v>
      </c>
      <c r="F763">
        <v>159.80000000000001</v>
      </c>
      <c r="G763" s="4">
        <f t="shared" si="22"/>
        <v>36.849879621115875</v>
      </c>
      <c r="H763" t="s">
        <v>99</v>
      </c>
      <c r="I763" t="s">
        <v>103</v>
      </c>
      <c r="J763">
        <v>120</v>
      </c>
      <c r="K763">
        <v>79</v>
      </c>
      <c r="L763">
        <v>78</v>
      </c>
      <c r="M763">
        <v>1</v>
      </c>
      <c r="N763" s="5">
        <v>4954.96</v>
      </c>
      <c r="O763" t="s">
        <v>63</v>
      </c>
      <c r="P763" t="str">
        <f t="shared" si="23"/>
        <v>Hospital Central de Nampula</v>
      </c>
      <c r="Q763" t="s">
        <v>24</v>
      </c>
      <c r="R763">
        <v>4</v>
      </c>
    </row>
    <row r="764" spans="1:18" x14ac:dyDescent="0.45">
      <c r="A764" t="s">
        <v>849</v>
      </c>
      <c r="B764" s="3">
        <v>45526</v>
      </c>
      <c r="C764">
        <v>21</v>
      </c>
      <c r="D764" t="s">
        <v>27</v>
      </c>
      <c r="E764">
        <v>64.900000000000006</v>
      </c>
      <c r="F764">
        <v>148.1</v>
      </c>
      <c r="G764" s="4">
        <f t="shared" si="22"/>
        <v>29.589292414700555</v>
      </c>
      <c r="H764" t="s">
        <v>99</v>
      </c>
      <c r="I764" t="s">
        <v>151</v>
      </c>
      <c r="J764">
        <v>113</v>
      </c>
      <c r="K764">
        <v>78</v>
      </c>
      <c r="L764">
        <v>87</v>
      </c>
      <c r="M764">
        <v>3</v>
      </c>
      <c r="N764" s="5">
        <v>8496.61</v>
      </c>
      <c r="O764" t="s">
        <v>51</v>
      </c>
      <c r="P764" t="str">
        <f t="shared" si="23"/>
        <v>Hospital Central de Quelimane</v>
      </c>
      <c r="Q764" t="s">
        <v>37</v>
      </c>
      <c r="R764">
        <v>5</v>
      </c>
    </row>
    <row r="765" spans="1:18" x14ac:dyDescent="0.45">
      <c r="A765" t="s">
        <v>850</v>
      </c>
      <c r="B765" s="3">
        <v>45358</v>
      </c>
      <c r="C765">
        <v>47</v>
      </c>
      <c r="D765" t="s">
        <v>20</v>
      </c>
      <c r="E765">
        <v>78.2</v>
      </c>
      <c r="F765">
        <v>157.5</v>
      </c>
      <c r="G765" s="4">
        <f t="shared" si="22"/>
        <v>31.524313429075338</v>
      </c>
      <c r="H765" t="s">
        <v>46</v>
      </c>
      <c r="I765" t="s">
        <v>108</v>
      </c>
      <c r="J765">
        <v>109</v>
      </c>
      <c r="K765">
        <v>63</v>
      </c>
      <c r="L765">
        <v>114</v>
      </c>
      <c r="M765">
        <v>1</v>
      </c>
      <c r="N765" s="5">
        <v>2360.39</v>
      </c>
      <c r="O765" t="s">
        <v>51</v>
      </c>
      <c r="P765" t="str">
        <f t="shared" si="23"/>
        <v>Hospital Central de Quelimane</v>
      </c>
      <c r="Q765" t="s">
        <v>24</v>
      </c>
      <c r="R765">
        <v>4</v>
      </c>
    </row>
    <row r="766" spans="1:18" x14ac:dyDescent="0.45">
      <c r="A766" t="s">
        <v>851</v>
      </c>
      <c r="B766" s="3">
        <v>45153</v>
      </c>
      <c r="C766">
        <v>61</v>
      </c>
      <c r="D766" t="s">
        <v>27</v>
      </c>
      <c r="E766">
        <v>42.8</v>
      </c>
      <c r="F766">
        <v>172.5</v>
      </c>
      <c r="G766" s="4">
        <f t="shared" si="22"/>
        <v>14.383532871245533</v>
      </c>
      <c r="H766" t="s">
        <v>46</v>
      </c>
      <c r="I766" t="s">
        <v>66</v>
      </c>
      <c r="J766">
        <v>115</v>
      </c>
      <c r="K766">
        <v>66</v>
      </c>
      <c r="L766">
        <v>107</v>
      </c>
      <c r="M766">
        <v>10</v>
      </c>
      <c r="N766" s="5">
        <v>20264.66</v>
      </c>
      <c r="O766" t="s">
        <v>57</v>
      </c>
      <c r="P766" t="str">
        <f t="shared" si="23"/>
        <v>Hospital Provincial de Tete</v>
      </c>
      <c r="Q766" t="s">
        <v>37</v>
      </c>
      <c r="R766">
        <v>5</v>
      </c>
    </row>
    <row r="767" spans="1:18" x14ac:dyDescent="0.45">
      <c r="A767" t="s">
        <v>852</v>
      </c>
      <c r="B767" s="3">
        <v>45516</v>
      </c>
      <c r="C767">
        <v>39</v>
      </c>
      <c r="D767" t="s">
        <v>20</v>
      </c>
      <c r="E767">
        <v>71.599999999999994</v>
      </c>
      <c r="F767">
        <v>154.5</v>
      </c>
      <c r="G767" s="4">
        <f t="shared" si="22"/>
        <v>29.995496486211916</v>
      </c>
      <c r="H767" t="s">
        <v>21</v>
      </c>
      <c r="I767" t="s">
        <v>89</v>
      </c>
      <c r="J767">
        <v>123</v>
      </c>
      <c r="K767">
        <v>84</v>
      </c>
      <c r="L767">
        <v>96</v>
      </c>
      <c r="M767">
        <v>2</v>
      </c>
      <c r="N767" s="5">
        <v>7195.99</v>
      </c>
      <c r="O767" t="s">
        <v>23</v>
      </c>
      <c r="P767" t="str">
        <f t="shared" si="23"/>
        <v>Hospital Central de Maputo</v>
      </c>
      <c r="Q767" t="s">
        <v>24</v>
      </c>
      <c r="R767">
        <v>5</v>
      </c>
    </row>
    <row r="768" spans="1:18" x14ac:dyDescent="0.45">
      <c r="A768" t="s">
        <v>853</v>
      </c>
      <c r="B768" s="3">
        <v>45369</v>
      </c>
      <c r="C768">
        <v>5</v>
      </c>
      <c r="D768" t="s">
        <v>20</v>
      </c>
      <c r="E768">
        <v>17.5</v>
      </c>
      <c r="F768">
        <v>90.4</v>
      </c>
      <c r="G768" s="4">
        <f t="shared" si="22"/>
        <v>21.414167123502232</v>
      </c>
      <c r="H768" t="s">
        <v>28</v>
      </c>
      <c r="I768" t="s">
        <v>29</v>
      </c>
      <c r="J768">
        <v>98</v>
      </c>
      <c r="K768">
        <v>66</v>
      </c>
      <c r="L768">
        <v>106</v>
      </c>
      <c r="M768">
        <v>8</v>
      </c>
      <c r="N768" s="5">
        <v>16515.37</v>
      </c>
      <c r="O768" t="s">
        <v>30</v>
      </c>
      <c r="P768" t="str">
        <f t="shared" si="23"/>
        <v>Hospital Provincial de Inhambane</v>
      </c>
      <c r="Q768" t="s">
        <v>76</v>
      </c>
      <c r="R768">
        <v>3</v>
      </c>
    </row>
    <row r="769" spans="1:18" x14ac:dyDescent="0.45">
      <c r="A769" t="s">
        <v>854</v>
      </c>
      <c r="B769" s="3">
        <v>44975</v>
      </c>
      <c r="C769">
        <v>41</v>
      </c>
      <c r="D769" t="s">
        <v>27</v>
      </c>
      <c r="E769">
        <v>56.9</v>
      </c>
      <c r="F769">
        <v>163.6</v>
      </c>
      <c r="G769" s="4">
        <f t="shared" si="22"/>
        <v>21.259138814330381</v>
      </c>
      <c r="H769" t="s">
        <v>41</v>
      </c>
      <c r="I769" t="s">
        <v>42</v>
      </c>
      <c r="J769">
        <v>94</v>
      </c>
      <c r="K769">
        <v>55</v>
      </c>
      <c r="L769">
        <v>72</v>
      </c>
      <c r="M769">
        <v>5</v>
      </c>
      <c r="N769" s="5">
        <v>14614.51</v>
      </c>
      <c r="O769" t="s">
        <v>52</v>
      </c>
      <c r="P769" t="str">
        <f t="shared" si="23"/>
        <v>Hospital Provincial de Chimoio</v>
      </c>
      <c r="Q769" t="s">
        <v>24</v>
      </c>
      <c r="R769">
        <v>4</v>
      </c>
    </row>
    <row r="770" spans="1:18" x14ac:dyDescent="0.45">
      <c r="A770" t="s">
        <v>855</v>
      </c>
      <c r="B770" s="3">
        <v>45478</v>
      </c>
      <c r="C770">
        <v>18</v>
      </c>
      <c r="D770" t="s">
        <v>20</v>
      </c>
      <c r="E770">
        <v>75.400000000000006</v>
      </c>
      <c r="F770">
        <v>174.6</v>
      </c>
      <c r="G770" s="4">
        <f t="shared" ref="G770:G833" si="24">E770/((F770/100)^2)</f>
        <v>24.733345667203324</v>
      </c>
      <c r="H770" t="s">
        <v>91</v>
      </c>
      <c r="I770" t="s">
        <v>116</v>
      </c>
      <c r="J770">
        <v>100</v>
      </c>
      <c r="K770">
        <v>58</v>
      </c>
      <c r="L770">
        <v>76</v>
      </c>
      <c r="M770">
        <v>1</v>
      </c>
      <c r="N770" s="5">
        <v>4301.6899999999996</v>
      </c>
      <c r="O770" t="s">
        <v>30</v>
      </c>
      <c r="P770" t="str">
        <f t="shared" ref="P770:P833" si="25">INDEX($U$2:$U$12,MATCH(O770,$T$2:$T$12,0))</f>
        <v>Hospital Provincial de Inhambane</v>
      </c>
      <c r="Q770" t="s">
        <v>37</v>
      </c>
      <c r="R770">
        <v>5</v>
      </c>
    </row>
    <row r="771" spans="1:18" x14ac:dyDescent="0.45">
      <c r="A771" t="s">
        <v>856</v>
      </c>
      <c r="B771" s="3">
        <v>45090</v>
      </c>
      <c r="C771">
        <v>38</v>
      </c>
      <c r="D771" t="s">
        <v>20</v>
      </c>
      <c r="E771">
        <v>73.599999999999994</v>
      </c>
      <c r="F771">
        <v>165.9</v>
      </c>
      <c r="G771" s="4">
        <f t="shared" si="24"/>
        <v>26.741455541785157</v>
      </c>
      <c r="H771" t="s">
        <v>91</v>
      </c>
      <c r="I771" t="s">
        <v>92</v>
      </c>
      <c r="J771">
        <v>98</v>
      </c>
      <c r="K771">
        <v>60</v>
      </c>
      <c r="L771">
        <v>83</v>
      </c>
      <c r="M771">
        <v>1</v>
      </c>
      <c r="N771" s="5">
        <v>3157.88</v>
      </c>
      <c r="O771" t="s">
        <v>23</v>
      </c>
      <c r="P771" t="str">
        <f t="shared" si="25"/>
        <v>Hospital Central de Maputo</v>
      </c>
      <c r="Q771" t="s">
        <v>24</v>
      </c>
      <c r="R771">
        <v>5</v>
      </c>
    </row>
    <row r="772" spans="1:18" x14ac:dyDescent="0.45">
      <c r="A772" t="s">
        <v>857</v>
      </c>
      <c r="B772" s="3">
        <v>45606</v>
      </c>
      <c r="C772">
        <v>36</v>
      </c>
      <c r="D772" t="s">
        <v>27</v>
      </c>
      <c r="E772">
        <v>49.5</v>
      </c>
      <c r="F772">
        <v>160.6</v>
      </c>
      <c r="G772" s="4">
        <f t="shared" si="24"/>
        <v>19.191729643972096</v>
      </c>
      <c r="H772" t="s">
        <v>99</v>
      </c>
      <c r="I772" t="s">
        <v>103</v>
      </c>
      <c r="J772">
        <v>92</v>
      </c>
      <c r="K772">
        <v>65</v>
      </c>
      <c r="L772">
        <v>125</v>
      </c>
      <c r="M772">
        <v>6</v>
      </c>
      <c r="N772" s="5">
        <v>19157.95</v>
      </c>
      <c r="O772" t="s">
        <v>57</v>
      </c>
      <c r="P772" t="str">
        <f t="shared" si="25"/>
        <v>Hospital Provincial de Tete</v>
      </c>
      <c r="Q772" t="s">
        <v>24</v>
      </c>
      <c r="R772">
        <v>5</v>
      </c>
    </row>
    <row r="773" spans="1:18" x14ac:dyDescent="0.45">
      <c r="A773" t="s">
        <v>858</v>
      </c>
      <c r="B773" s="3">
        <v>45380</v>
      </c>
      <c r="C773">
        <v>4</v>
      </c>
      <c r="D773" t="s">
        <v>20</v>
      </c>
      <c r="E773">
        <v>31</v>
      </c>
      <c r="F773">
        <v>141.4</v>
      </c>
      <c r="G773" s="4">
        <f t="shared" si="24"/>
        <v>15.504682414089052</v>
      </c>
      <c r="H773" t="s">
        <v>28</v>
      </c>
      <c r="I773" t="s">
        <v>50</v>
      </c>
      <c r="J773">
        <v>103</v>
      </c>
      <c r="K773">
        <v>62</v>
      </c>
      <c r="L773">
        <v>74</v>
      </c>
      <c r="M773">
        <v>8</v>
      </c>
      <c r="N773" s="5">
        <v>18418.28</v>
      </c>
      <c r="O773" t="s">
        <v>23</v>
      </c>
      <c r="P773" t="str">
        <f t="shared" si="25"/>
        <v>Hospital Central de Maputo</v>
      </c>
      <c r="Q773" t="s">
        <v>24</v>
      </c>
      <c r="R773">
        <v>5</v>
      </c>
    </row>
    <row r="774" spans="1:18" x14ac:dyDescent="0.45">
      <c r="A774" t="s">
        <v>859</v>
      </c>
      <c r="B774" s="3">
        <v>45553</v>
      </c>
      <c r="C774">
        <v>18</v>
      </c>
      <c r="D774" t="s">
        <v>27</v>
      </c>
      <c r="E774">
        <v>44.2</v>
      </c>
      <c r="F774">
        <v>168.8</v>
      </c>
      <c r="G774" s="4">
        <f t="shared" si="24"/>
        <v>15.512342490060867</v>
      </c>
      <c r="H774" t="s">
        <v>99</v>
      </c>
      <c r="I774" t="s">
        <v>103</v>
      </c>
      <c r="J774">
        <v>119</v>
      </c>
      <c r="K774">
        <v>66</v>
      </c>
      <c r="L774">
        <v>75</v>
      </c>
      <c r="M774">
        <v>8</v>
      </c>
      <c r="N774" s="5">
        <v>28131.07</v>
      </c>
      <c r="O774" t="s">
        <v>51</v>
      </c>
      <c r="P774" t="str">
        <f t="shared" si="25"/>
        <v>Hospital Central de Quelimane</v>
      </c>
      <c r="Q774" t="s">
        <v>76</v>
      </c>
      <c r="R774">
        <v>5</v>
      </c>
    </row>
    <row r="775" spans="1:18" x14ac:dyDescent="0.45">
      <c r="A775" t="s">
        <v>860</v>
      </c>
      <c r="B775" s="3">
        <v>45196</v>
      </c>
      <c r="C775">
        <v>70</v>
      </c>
      <c r="D775" t="s">
        <v>27</v>
      </c>
      <c r="E775">
        <v>59.3</v>
      </c>
      <c r="F775">
        <v>150.6</v>
      </c>
      <c r="G775" s="4">
        <f t="shared" si="24"/>
        <v>26.14596946432949</v>
      </c>
      <c r="H775" t="s">
        <v>91</v>
      </c>
      <c r="I775" t="s">
        <v>116</v>
      </c>
      <c r="J775">
        <v>126</v>
      </c>
      <c r="K775">
        <v>76</v>
      </c>
      <c r="L775">
        <v>78</v>
      </c>
      <c r="M775">
        <v>7</v>
      </c>
      <c r="N775" s="5">
        <v>20675.43</v>
      </c>
      <c r="O775" t="s">
        <v>57</v>
      </c>
      <c r="P775" t="str">
        <f t="shared" si="25"/>
        <v>Hospital Provincial de Tete</v>
      </c>
      <c r="Q775" t="s">
        <v>24</v>
      </c>
      <c r="R775">
        <v>5</v>
      </c>
    </row>
    <row r="776" spans="1:18" x14ac:dyDescent="0.45">
      <c r="A776" t="s">
        <v>861</v>
      </c>
      <c r="B776" s="3">
        <v>45446</v>
      </c>
      <c r="C776">
        <v>63</v>
      </c>
      <c r="D776" t="s">
        <v>27</v>
      </c>
      <c r="E776">
        <v>60.4</v>
      </c>
      <c r="F776">
        <v>173.3</v>
      </c>
      <c r="G776" s="4">
        <f t="shared" si="24"/>
        <v>20.11128466158268</v>
      </c>
      <c r="H776" t="s">
        <v>55</v>
      </c>
      <c r="I776" t="s">
        <v>197</v>
      </c>
      <c r="J776">
        <v>106</v>
      </c>
      <c r="K776">
        <v>61</v>
      </c>
      <c r="L776">
        <v>74</v>
      </c>
      <c r="M776">
        <v>16</v>
      </c>
      <c r="N776" s="5">
        <v>35402.74</v>
      </c>
      <c r="O776" t="s">
        <v>23</v>
      </c>
      <c r="P776" t="str">
        <f t="shared" si="25"/>
        <v>Hospital Central de Maputo</v>
      </c>
      <c r="Q776" t="s">
        <v>24</v>
      </c>
      <c r="R776">
        <v>4</v>
      </c>
    </row>
    <row r="777" spans="1:18" x14ac:dyDescent="0.45">
      <c r="A777" t="s">
        <v>862</v>
      </c>
      <c r="B777" s="3">
        <v>45373</v>
      </c>
      <c r="C777">
        <v>48</v>
      </c>
      <c r="D777" t="s">
        <v>20</v>
      </c>
      <c r="E777">
        <v>74.8</v>
      </c>
      <c r="F777">
        <v>173.2</v>
      </c>
      <c r="G777" s="4">
        <f t="shared" si="24"/>
        <v>24.934796174708918</v>
      </c>
      <c r="H777" t="s">
        <v>34</v>
      </c>
      <c r="I777" t="s">
        <v>128</v>
      </c>
      <c r="J777">
        <v>110</v>
      </c>
      <c r="K777">
        <v>67</v>
      </c>
      <c r="L777">
        <v>84</v>
      </c>
      <c r="M777">
        <v>1</v>
      </c>
      <c r="N777" s="5">
        <v>4551.7700000000004</v>
      </c>
      <c r="O777" t="s">
        <v>38</v>
      </c>
      <c r="P777" t="str">
        <f t="shared" si="25"/>
        <v>Hospital Provincial de Xai-Xai</v>
      </c>
      <c r="Q777" t="s">
        <v>37</v>
      </c>
      <c r="R777">
        <v>1</v>
      </c>
    </row>
    <row r="778" spans="1:18" x14ac:dyDescent="0.45">
      <c r="A778" t="s">
        <v>863</v>
      </c>
      <c r="B778" s="3">
        <v>45539</v>
      </c>
      <c r="C778">
        <v>38</v>
      </c>
      <c r="D778" t="s">
        <v>27</v>
      </c>
      <c r="E778">
        <v>66.900000000000006</v>
      </c>
      <c r="F778">
        <v>158.19999999999999</v>
      </c>
      <c r="G778" s="4">
        <f t="shared" si="24"/>
        <v>26.730874039646405</v>
      </c>
      <c r="H778" t="s">
        <v>41</v>
      </c>
      <c r="I778" t="s">
        <v>161</v>
      </c>
      <c r="J778">
        <v>128</v>
      </c>
      <c r="K778">
        <v>70</v>
      </c>
      <c r="L778">
        <v>83</v>
      </c>
      <c r="M778">
        <v>1</v>
      </c>
      <c r="N778" s="5">
        <v>5526.17</v>
      </c>
      <c r="O778" t="s">
        <v>67</v>
      </c>
      <c r="P778" t="str">
        <f t="shared" si="25"/>
        <v>Hospital Provincial de Pemba</v>
      </c>
      <c r="Q778" t="s">
        <v>24</v>
      </c>
      <c r="R778">
        <v>4</v>
      </c>
    </row>
    <row r="779" spans="1:18" x14ac:dyDescent="0.45">
      <c r="A779" t="s">
        <v>864</v>
      </c>
      <c r="B779" s="3">
        <v>45624</v>
      </c>
      <c r="C779">
        <v>29</v>
      </c>
      <c r="D779" t="s">
        <v>27</v>
      </c>
      <c r="E779">
        <v>46.3</v>
      </c>
      <c r="F779">
        <v>162.5</v>
      </c>
      <c r="G779" s="4">
        <f t="shared" si="24"/>
        <v>17.533727810650888</v>
      </c>
      <c r="H779" t="s">
        <v>99</v>
      </c>
      <c r="I779" t="s">
        <v>151</v>
      </c>
      <c r="J779">
        <v>100</v>
      </c>
      <c r="K779">
        <v>63</v>
      </c>
      <c r="L779">
        <v>91</v>
      </c>
      <c r="M779">
        <v>2</v>
      </c>
      <c r="N779" s="5">
        <v>3744.87</v>
      </c>
      <c r="O779" t="s">
        <v>36</v>
      </c>
      <c r="P779" t="str">
        <f t="shared" si="25"/>
        <v>Hospital Provincial de Lichinga</v>
      </c>
      <c r="Q779" t="s">
        <v>24</v>
      </c>
      <c r="R779">
        <v>5</v>
      </c>
    </row>
    <row r="780" spans="1:18" x14ac:dyDescent="0.45">
      <c r="A780" t="s">
        <v>865</v>
      </c>
      <c r="B780" s="3">
        <v>45112</v>
      </c>
      <c r="C780">
        <v>29</v>
      </c>
      <c r="D780" t="s">
        <v>20</v>
      </c>
      <c r="E780">
        <v>74.099999999999994</v>
      </c>
      <c r="F780">
        <v>163.1</v>
      </c>
      <c r="G780" s="4">
        <f t="shared" si="24"/>
        <v>27.855456868963945</v>
      </c>
      <c r="H780" t="s">
        <v>46</v>
      </c>
      <c r="I780" t="s">
        <v>47</v>
      </c>
      <c r="J780">
        <v>118</v>
      </c>
      <c r="K780">
        <v>70</v>
      </c>
      <c r="L780">
        <v>65</v>
      </c>
      <c r="M780">
        <v>6</v>
      </c>
      <c r="N780" s="5">
        <v>12732.48</v>
      </c>
      <c r="O780" t="s">
        <v>63</v>
      </c>
      <c r="P780" t="str">
        <f t="shared" si="25"/>
        <v>Hospital Central de Nampula</v>
      </c>
      <c r="Q780" t="s">
        <v>24</v>
      </c>
      <c r="R780">
        <v>4</v>
      </c>
    </row>
    <row r="781" spans="1:18" x14ac:dyDescent="0.45">
      <c r="A781" t="s">
        <v>866</v>
      </c>
      <c r="B781" s="3">
        <v>45108</v>
      </c>
      <c r="C781">
        <v>21</v>
      </c>
      <c r="D781" t="s">
        <v>27</v>
      </c>
      <c r="E781">
        <v>67.400000000000006</v>
      </c>
      <c r="F781">
        <v>163</v>
      </c>
      <c r="G781" s="4">
        <f t="shared" si="24"/>
        <v>25.367909970266105</v>
      </c>
      <c r="H781" t="s">
        <v>99</v>
      </c>
      <c r="I781" t="s">
        <v>100</v>
      </c>
      <c r="J781">
        <v>119</v>
      </c>
      <c r="K781">
        <v>72</v>
      </c>
      <c r="L781">
        <v>82</v>
      </c>
      <c r="M781">
        <v>2</v>
      </c>
      <c r="N781" s="5">
        <v>3631.61</v>
      </c>
      <c r="O781" t="s">
        <v>63</v>
      </c>
      <c r="P781" t="str">
        <f t="shared" si="25"/>
        <v>Hospital Central de Nampula</v>
      </c>
      <c r="Q781" t="s">
        <v>24</v>
      </c>
      <c r="R781">
        <v>4</v>
      </c>
    </row>
    <row r="782" spans="1:18" x14ac:dyDescent="0.45">
      <c r="A782" t="s">
        <v>867</v>
      </c>
      <c r="B782" s="3">
        <v>45626</v>
      </c>
      <c r="C782">
        <v>87</v>
      </c>
      <c r="D782" t="s">
        <v>27</v>
      </c>
      <c r="E782">
        <v>75.8</v>
      </c>
      <c r="F782">
        <v>163.30000000000001</v>
      </c>
      <c r="G782" s="4">
        <f t="shared" si="24"/>
        <v>28.42476194261873</v>
      </c>
      <c r="H782" t="s">
        <v>21</v>
      </c>
      <c r="I782" t="s">
        <v>22</v>
      </c>
      <c r="J782">
        <v>160</v>
      </c>
      <c r="K782">
        <v>112</v>
      </c>
      <c r="L782">
        <v>101</v>
      </c>
      <c r="M782">
        <v>3</v>
      </c>
      <c r="N782" s="5">
        <v>12192.28</v>
      </c>
      <c r="O782" t="s">
        <v>31</v>
      </c>
      <c r="P782" t="str">
        <f t="shared" si="25"/>
        <v>Hospital Provincial da Matola</v>
      </c>
      <c r="Q782" t="s">
        <v>24</v>
      </c>
      <c r="R782">
        <v>3</v>
      </c>
    </row>
    <row r="783" spans="1:18" x14ac:dyDescent="0.45">
      <c r="A783" t="s">
        <v>868</v>
      </c>
      <c r="B783" s="3">
        <v>45150</v>
      </c>
      <c r="C783">
        <v>33</v>
      </c>
      <c r="D783" t="s">
        <v>27</v>
      </c>
      <c r="E783">
        <v>41.4</v>
      </c>
      <c r="F783">
        <v>158.19999999999999</v>
      </c>
      <c r="G783" s="4">
        <f t="shared" si="24"/>
        <v>16.541975863099569</v>
      </c>
      <c r="H783" t="s">
        <v>21</v>
      </c>
      <c r="I783" t="s">
        <v>123</v>
      </c>
      <c r="J783">
        <v>101</v>
      </c>
      <c r="K783">
        <v>59</v>
      </c>
      <c r="L783">
        <v>65</v>
      </c>
      <c r="M783">
        <v>1</v>
      </c>
      <c r="N783" s="5">
        <v>4381.24</v>
      </c>
      <c r="O783" t="s">
        <v>23</v>
      </c>
      <c r="P783" t="str">
        <f t="shared" si="25"/>
        <v>Hospital Central de Maputo</v>
      </c>
      <c r="Q783" t="s">
        <v>24</v>
      </c>
      <c r="R783">
        <v>4</v>
      </c>
    </row>
    <row r="784" spans="1:18" x14ac:dyDescent="0.45">
      <c r="A784" t="s">
        <v>869</v>
      </c>
      <c r="B784" s="3">
        <v>45050</v>
      </c>
      <c r="C784">
        <v>58</v>
      </c>
      <c r="D784" t="s">
        <v>27</v>
      </c>
      <c r="E784">
        <v>75.400000000000006</v>
      </c>
      <c r="F784">
        <v>171.5</v>
      </c>
      <c r="G784" s="4">
        <f t="shared" si="24"/>
        <v>25.635577012979287</v>
      </c>
      <c r="H784" t="s">
        <v>34</v>
      </c>
      <c r="I784" t="s">
        <v>138</v>
      </c>
      <c r="J784">
        <v>114</v>
      </c>
      <c r="K784">
        <v>55</v>
      </c>
      <c r="L784">
        <v>65</v>
      </c>
      <c r="M784">
        <v>10</v>
      </c>
      <c r="N784" s="5">
        <v>34048.5</v>
      </c>
      <c r="O784" t="s">
        <v>52</v>
      </c>
      <c r="P784" t="str">
        <f t="shared" si="25"/>
        <v>Hospital Provincial de Chimoio</v>
      </c>
      <c r="Q784" t="s">
        <v>24</v>
      </c>
      <c r="R784">
        <v>4</v>
      </c>
    </row>
    <row r="785" spans="1:18" x14ac:dyDescent="0.45">
      <c r="A785" t="s">
        <v>870</v>
      </c>
      <c r="B785" s="3">
        <v>45046</v>
      </c>
      <c r="C785">
        <v>29</v>
      </c>
      <c r="D785" t="s">
        <v>20</v>
      </c>
      <c r="E785">
        <v>68.599999999999994</v>
      </c>
      <c r="F785">
        <v>168</v>
      </c>
      <c r="G785" s="4">
        <f t="shared" si="24"/>
        <v>24.305555555555557</v>
      </c>
      <c r="H785" t="s">
        <v>91</v>
      </c>
      <c r="I785" t="s">
        <v>131</v>
      </c>
      <c r="J785">
        <v>122</v>
      </c>
      <c r="K785">
        <v>67</v>
      </c>
      <c r="L785">
        <v>120</v>
      </c>
      <c r="M785">
        <v>10</v>
      </c>
      <c r="N785" s="5">
        <v>31070.84</v>
      </c>
      <c r="O785" t="s">
        <v>51</v>
      </c>
      <c r="P785" t="str">
        <f t="shared" si="25"/>
        <v>Hospital Central de Quelimane</v>
      </c>
      <c r="Q785" t="s">
        <v>37</v>
      </c>
      <c r="R785">
        <v>2</v>
      </c>
    </row>
    <row r="786" spans="1:18" x14ac:dyDescent="0.45">
      <c r="A786" t="s">
        <v>871</v>
      </c>
      <c r="B786" s="3">
        <v>45459</v>
      </c>
      <c r="C786">
        <v>29</v>
      </c>
      <c r="D786" t="s">
        <v>20</v>
      </c>
      <c r="E786">
        <v>64.7</v>
      </c>
      <c r="F786">
        <v>173</v>
      </c>
      <c r="G786" s="4">
        <f t="shared" si="24"/>
        <v>21.617828861639214</v>
      </c>
      <c r="H786" t="s">
        <v>46</v>
      </c>
      <c r="I786" t="s">
        <v>66</v>
      </c>
      <c r="J786">
        <v>94</v>
      </c>
      <c r="K786">
        <v>57</v>
      </c>
      <c r="L786">
        <v>98</v>
      </c>
      <c r="M786">
        <v>5</v>
      </c>
      <c r="N786" s="5">
        <v>10410.68</v>
      </c>
      <c r="O786" t="s">
        <v>43</v>
      </c>
      <c r="P786" t="str">
        <f t="shared" si="25"/>
        <v>Hospital Central da Beira</v>
      </c>
      <c r="Q786" t="s">
        <v>24</v>
      </c>
      <c r="R786">
        <v>4</v>
      </c>
    </row>
    <row r="787" spans="1:18" x14ac:dyDescent="0.45">
      <c r="A787" t="s">
        <v>872</v>
      </c>
      <c r="B787" s="3">
        <v>45430</v>
      </c>
      <c r="C787">
        <v>21</v>
      </c>
      <c r="D787" t="s">
        <v>20</v>
      </c>
      <c r="E787">
        <v>84.6</v>
      </c>
      <c r="F787">
        <v>163.9</v>
      </c>
      <c r="G787" s="4">
        <f t="shared" si="24"/>
        <v>31.492885623125456</v>
      </c>
      <c r="H787" t="s">
        <v>91</v>
      </c>
      <c r="I787" t="s">
        <v>131</v>
      </c>
      <c r="J787">
        <v>107</v>
      </c>
      <c r="K787">
        <v>67</v>
      </c>
      <c r="L787">
        <v>65</v>
      </c>
      <c r="M787">
        <v>2</v>
      </c>
      <c r="N787" s="5">
        <v>5526.53</v>
      </c>
      <c r="O787" t="s">
        <v>38</v>
      </c>
      <c r="P787" t="str">
        <f t="shared" si="25"/>
        <v>Hospital Provincial de Xai-Xai</v>
      </c>
      <c r="Q787" t="s">
        <v>24</v>
      </c>
      <c r="R787">
        <v>5</v>
      </c>
    </row>
    <row r="788" spans="1:18" x14ac:dyDescent="0.45">
      <c r="A788" t="s">
        <v>873</v>
      </c>
      <c r="B788" s="3">
        <v>45482</v>
      </c>
      <c r="C788">
        <v>36</v>
      </c>
      <c r="D788" t="s">
        <v>20</v>
      </c>
      <c r="E788">
        <v>75.599999999999994</v>
      </c>
      <c r="F788">
        <v>151.9</v>
      </c>
      <c r="G788" s="4">
        <f t="shared" si="24"/>
        <v>32.76470391932601</v>
      </c>
      <c r="H788" t="s">
        <v>46</v>
      </c>
      <c r="I788" t="s">
        <v>47</v>
      </c>
      <c r="J788">
        <v>111</v>
      </c>
      <c r="K788">
        <v>64</v>
      </c>
      <c r="L788">
        <v>107</v>
      </c>
      <c r="M788">
        <v>6</v>
      </c>
      <c r="N788" s="5">
        <v>16786.27</v>
      </c>
      <c r="O788" t="s">
        <v>52</v>
      </c>
      <c r="P788" t="str">
        <f t="shared" si="25"/>
        <v>Hospital Provincial de Chimoio</v>
      </c>
      <c r="Q788" t="s">
        <v>37</v>
      </c>
      <c r="R788">
        <v>4</v>
      </c>
    </row>
    <row r="789" spans="1:18" x14ac:dyDescent="0.45">
      <c r="A789" t="s">
        <v>874</v>
      </c>
      <c r="B789" s="3">
        <v>45624</v>
      </c>
      <c r="C789">
        <v>71</v>
      </c>
      <c r="D789" t="s">
        <v>20</v>
      </c>
      <c r="E789">
        <v>62.9</v>
      </c>
      <c r="F789">
        <v>175.8</v>
      </c>
      <c r="G789" s="4">
        <f t="shared" si="24"/>
        <v>20.352272271339469</v>
      </c>
      <c r="H789" t="s">
        <v>34</v>
      </c>
      <c r="I789" t="s">
        <v>138</v>
      </c>
      <c r="J789">
        <v>123</v>
      </c>
      <c r="K789">
        <v>77</v>
      </c>
      <c r="L789">
        <v>104</v>
      </c>
      <c r="M789">
        <v>4</v>
      </c>
      <c r="N789" s="5">
        <v>7201.92</v>
      </c>
      <c r="O789" t="s">
        <v>31</v>
      </c>
      <c r="P789" t="str">
        <f t="shared" si="25"/>
        <v>Hospital Provincial da Matola</v>
      </c>
      <c r="Q789" t="s">
        <v>24</v>
      </c>
      <c r="R789">
        <v>5</v>
      </c>
    </row>
    <row r="790" spans="1:18" x14ac:dyDescent="0.45">
      <c r="A790" t="s">
        <v>875</v>
      </c>
      <c r="B790" s="3">
        <v>44931</v>
      </c>
      <c r="C790">
        <v>51</v>
      </c>
      <c r="D790" t="s">
        <v>20</v>
      </c>
      <c r="E790">
        <v>86.4</v>
      </c>
      <c r="F790">
        <v>158.9</v>
      </c>
      <c r="G790" s="4">
        <f t="shared" si="24"/>
        <v>34.218892393068934</v>
      </c>
      <c r="H790" t="s">
        <v>46</v>
      </c>
      <c r="I790" t="s">
        <v>94</v>
      </c>
      <c r="J790">
        <v>118</v>
      </c>
      <c r="K790">
        <v>65</v>
      </c>
      <c r="L790">
        <v>115</v>
      </c>
      <c r="M790">
        <v>1</v>
      </c>
      <c r="N790" s="5">
        <v>2588.98</v>
      </c>
      <c r="O790" t="s">
        <v>51</v>
      </c>
      <c r="P790" t="str">
        <f t="shared" si="25"/>
        <v>Hospital Central de Quelimane</v>
      </c>
      <c r="Q790" t="s">
        <v>37</v>
      </c>
      <c r="R790">
        <v>4</v>
      </c>
    </row>
    <row r="791" spans="1:18" x14ac:dyDescent="0.45">
      <c r="A791" t="s">
        <v>876</v>
      </c>
      <c r="B791" s="3">
        <v>45511</v>
      </c>
      <c r="C791">
        <v>8</v>
      </c>
      <c r="D791" t="s">
        <v>27</v>
      </c>
      <c r="E791">
        <v>14.4</v>
      </c>
      <c r="F791">
        <v>95.9</v>
      </c>
      <c r="G791" s="4">
        <f t="shared" si="24"/>
        <v>15.657603016698179</v>
      </c>
      <c r="H791" t="s">
        <v>28</v>
      </c>
      <c r="I791" t="s">
        <v>73</v>
      </c>
      <c r="J791">
        <v>94</v>
      </c>
      <c r="K791">
        <v>60</v>
      </c>
      <c r="L791">
        <v>113</v>
      </c>
      <c r="M791">
        <v>2</v>
      </c>
      <c r="N791" s="5">
        <v>7102.86</v>
      </c>
      <c r="O791" t="s">
        <v>43</v>
      </c>
      <c r="P791" t="str">
        <f t="shared" si="25"/>
        <v>Hospital Central da Beira</v>
      </c>
      <c r="Q791" t="s">
        <v>24</v>
      </c>
      <c r="R791">
        <v>4</v>
      </c>
    </row>
    <row r="792" spans="1:18" x14ac:dyDescent="0.45">
      <c r="A792" t="s">
        <v>877</v>
      </c>
      <c r="B792" s="3">
        <v>45605</v>
      </c>
      <c r="C792">
        <v>19</v>
      </c>
      <c r="D792" t="s">
        <v>20</v>
      </c>
      <c r="E792">
        <v>81.099999999999994</v>
      </c>
      <c r="F792">
        <v>177.5</v>
      </c>
      <c r="G792" s="4">
        <f t="shared" si="24"/>
        <v>25.740924419757985</v>
      </c>
      <c r="H792" t="s">
        <v>21</v>
      </c>
      <c r="I792" t="s">
        <v>22</v>
      </c>
      <c r="J792">
        <v>124</v>
      </c>
      <c r="K792">
        <v>77</v>
      </c>
      <c r="L792">
        <v>67</v>
      </c>
      <c r="M792">
        <v>1</v>
      </c>
      <c r="N792" s="5">
        <v>5951</v>
      </c>
      <c r="O792" t="s">
        <v>43</v>
      </c>
      <c r="P792" t="str">
        <f t="shared" si="25"/>
        <v>Hospital Central da Beira</v>
      </c>
      <c r="Q792" t="s">
        <v>24</v>
      </c>
      <c r="R792">
        <v>3</v>
      </c>
    </row>
    <row r="793" spans="1:18" x14ac:dyDescent="0.45">
      <c r="A793" t="s">
        <v>878</v>
      </c>
      <c r="B793" s="3">
        <v>45510</v>
      </c>
      <c r="C793">
        <v>74</v>
      </c>
      <c r="D793" t="s">
        <v>27</v>
      </c>
      <c r="E793">
        <v>79.3</v>
      </c>
      <c r="F793">
        <v>148.19999999999999</v>
      </c>
      <c r="G793" s="4">
        <f t="shared" si="24"/>
        <v>36.105784028221699</v>
      </c>
      <c r="H793" t="s">
        <v>21</v>
      </c>
      <c r="I793" t="s">
        <v>22</v>
      </c>
      <c r="J793">
        <v>156</v>
      </c>
      <c r="K793">
        <v>99</v>
      </c>
      <c r="L793">
        <v>100</v>
      </c>
      <c r="M793">
        <v>2</v>
      </c>
      <c r="N793" s="5">
        <v>4048.54</v>
      </c>
      <c r="O793" t="s">
        <v>23</v>
      </c>
      <c r="P793" t="str">
        <f t="shared" si="25"/>
        <v>Hospital Central de Maputo</v>
      </c>
      <c r="Q793" t="s">
        <v>24</v>
      </c>
      <c r="R793">
        <v>4</v>
      </c>
    </row>
    <row r="794" spans="1:18" x14ac:dyDescent="0.45">
      <c r="A794" t="s">
        <v>879</v>
      </c>
      <c r="B794" s="3">
        <v>45012</v>
      </c>
      <c r="C794">
        <v>11</v>
      </c>
      <c r="D794" t="s">
        <v>20</v>
      </c>
      <c r="E794">
        <v>23.2</v>
      </c>
      <c r="F794">
        <v>91.8</v>
      </c>
      <c r="G794" s="4">
        <f t="shared" si="24"/>
        <v>27.529772499655881</v>
      </c>
      <c r="H794" t="s">
        <v>28</v>
      </c>
      <c r="I794" t="s">
        <v>73</v>
      </c>
      <c r="J794">
        <v>91</v>
      </c>
      <c r="K794">
        <v>57</v>
      </c>
      <c r="L794">
        <v>65</v>
      </c>
      <c r="M794">
        <v>2</v>
      </c>
      <c r="N794" s="5">
        <v>9265.24</v>
      </c>
      <c r="O794" t="s">
        <v>51</v>
      </c>
      <c r="P794" t="str">
        <f t="shared" si="25"/>
        <v>Hospital Central de Quelimane</v>
      </c>
      <c r="Q794" t="s">
        <v>24</v>
      </c>
      <c r="R794">
        <v>1</v>
      </c>
    </row>
    <row r="795" spans="1:18" x14ac:dyDescent="0.45">
      <c r="A795" t="s">
        <v>880</v>
      </c>
      <c r="B795" s="3">
        <v>45083</v>
      </c>
      <c r="C795">
        <v>26</v>
      </c>
      <c r="D795" t="s">
        <v>27</v>
      </c>
      <c r="E795">
        <v>69.3</v>
      </c>
      <c r="F795">
        <v>168.6</v>
      </c>
      <c r="G795" s="4">
        <f t="shared" si="24"/>
        <v>24.379123871278225</v>
      </c>
      <c r="H795" t="s">
        <v>99</v>
      </c>
      <c r="I795" t="s">
        <v>100</v>
      </c>
      <c r="J795">
        <v>126</v>
      </c>
      <c r="K795">
        <v>75</v>
      </c>
      <c r="L795">
        <v>95</v>
      </c>
      <c r="M795">
        <v>1</v>
      </c>
      <c r="N795" s="5">
        <v>2216.6799999999998</v>
      </c>
      <c r="O795" t="s">
        <v>31</v>
      </c>
      <c r="P795" t="str">
        <f t="shared" si="25"/>
        <v>Hospital Provincial da Matola</v>
      </c>
      <c r="Q795" t="s">
        <v>24</v>
      </c>
      <c r="R795">
        <v>4</v>
      </c>
    </row>
    <row r="796" spans="1:18" x14ac:dyDescent="0.45">
      <c r="A796" t="s">
        <v>881</v>
      </c>
      <c r="B796" s="3">
        <v>45378</v>
      </c>
      <c r="C796">
        <v>21</v>
      </c>
      <c r="D796" t="s">
        <v>27</v>
      </c>
      <c r="E796">
        <v>83.2</v>
      </c>
      <c r="F796">
        <v>158.6</v>
      </c>
      <c r="G796" s="4">
        <f t="shared" si="24"/>
        <v>33.076302896243782</v>
      </c>
      <c r="H796" t="s">
        <v>99</v>
      </c>
      <c r="I796" t="s">
        <v>103</v>
      </c>
      <c r="J796">
        <v>132</v>
      </c>
      <c r="K796">
        <v>90</v>
      </c>
      <c r="L796">
        <v>97</v>
      </c>
      <c r="M796">
        <v>2</v>
      </c>
      <c r="N796" s="5">
        <v>6775.28</v>
      </c>
      <c r="O796" t="s">
        <v>31</v>
      </c>
      <c r="P796" t="str">
        <f t="shared" si="25"/>
        <v>Hospital Provincial da Matola</v>
      </c>
      <c r="Q796" t="s">
        <v>202</v>
      </c>
      <c r="R796">
        <v>4</v>
      </c>
    </row>
    <row r="797" spans="1:18" x14ac:dyDescent="0.45">
      <c r="A797" t="s">
        <v>882</v>
      </c>
      <c r="B797" s="3">
        <v>45073</v>
      </c>
      <c r="C797">
        <v>39</v>
      </c>
      <c r="D797" t="s">
        <v>20</v>
      </c>
      <c r="E797">
        <v>72</v>
      </c>
      <c r="F797">
        <v>163</v>
      </c>
      <c r="G797" s="4">
        <f t="shared" si="24"/>
        <v>27.099251006812452</v>
      </c>
      <c r="H797" t="s">
        <v>46</v>
      </c>
      <c r="I797" t="s">
        <v>47</v>
      </c>
      <c r="J797">
        <v>96</v>
      </c>
      <c r="K797">
        <v>62</v>
      </c>
      <c r="L797">
        <v>98</v>
      </c>
      <c r="M797">
        <v>3</v>
      </c>
      <c r="N797" s="5">
        <v>7418.27</v>
      </c>
      <c r="O797" t="s">
        <v>51</v>
      </c>
      <c r="P797" t="str">
        <f t="shared" si="25"/>
        <v>Hospital Central de Quelimane</v>
      </c>
      <c r="Q797" t="s">
        <v>37</v>
      </c>
      <c r="R797">
        <v>5</v>
      </c>
    </row>
    <row r="798" spans="1:18" x14ac:dyDescent="0.45">
      <c r="A798" t="s">
        <v>883</v>
      </c>
      <c r="B798" s="3">
        <v>45587</v>
      </c>
      <c r="C798">
        <v>12</v>
      </c>
      <c r="D798" t="s">
        <v>27</v>
      </c>
      <c r="E798">
        <v>59.3</v>
      </c>
      <c r="F798">
        <v>168.6</v>
      </c>
      <c r="G798" s="4">
        <f t="shared" si="24"/>
        <v>20.861212778741685</v>
      </c>
      <c r="H798" t="s">
        <v>28</v>
      </c>
      <c r="I798" t="s">
        <v>73</v>
      </c>
      <c r="J798">
        <v>95</v>
      </c>
      <c r="K798">
        <v>59</v>
      </c>
      <c r="L798">
        <v>112</v>
      </c>
      <c r="M798">
        <v>2</v>
      </c>
      <c r="N798" s="5">
        <v>7941.54</v>
      </c>
      <c r="O798" t="s">
        <v>63</v>
      </c>
      <c r="P798" t="str">
        <f t="shared" si="25"/>
        <v>Hospital Central de Nampula</v>
      </c>
      <c r="Q798" t="s">
        <v>24</v>
      </c>
      <c r="R798">
        <v>3</v>
      </c>
    </row>
    <row r="799" spans="1:18" x14ac:dyDescent="0.45">
      <c r="A799" t="s">
        <v>884</v>
      </c>
      <c r="B799" s="3">
        <v>45105</v>
      </c>
      <c r="C799">
        <v>34</v>
      </c>
      <c r="D799" t="s">
        <v>27</v>
      </c>
      <c r="E799">
        <v>65.8</v>
      </c>
      <c r="F799">
        <v>161.69999999999999</v>
      </c>
      <c r="G799" s="4">
        <f t="shared" si="24"/>
        <v>25.165516816722754</v>
      </c>
      <c r="H799" t="s">
        <v>34</v>
      </c>
      <c r="I799" t="s">
        <v>138</v>
      </c>
      <c r="J799">
        <v>115</v>
      </c>
      <c r="K799">
        <v>68</v>
      </c>
      <c r="L799">
        <v>65</v>
      </c>
      <c r="M799">
        <v>3</v>
      </c>
      <c r="N799" s="5">
        <v>6113.12</v>
      </c>
      <c r="O799" t="s">
        <v>63</v>
      </c>
      <c r="P799" t="str">
        <f t="shared" si="25"/>
        <v>Hospital Central de Nampula</v>
      </c>
      <c r="Q799" t="s">
        <v>24</v>
      </c>
      <c r="R799">
        <v>5</v>
      </c>
    </row>
    <row r="800" spans="1:18" x14ac:dyDescent="0.45">
      <c r="A800" t="s">
        <v>885</v>
      </c>
      <c r="B800" s="3">
        <v>45358</v>
      </c>
      <c r="C800">
        <v>44</v>
      </c>
      <c r="D800" t="s">
        <v>27</v>
      </c>
      <c r="E800">
        <v>68.099999999999994</v>
      </c>
      <c r="F800">
        <v>154.6</v>
      </c>
      <c r="G800" s="4">
        <f t="shared" si="24"/>
        <v>28.49234095751001</v>
      </c>
      <c r="H800" t="s">
        <v>41</v>
      </c>
      <c r="I800" t="s">
        <v>161</v>
      </c>
      <c r="J800">
        <v>110</v>
      </c>
      <c r="K800">
        <v>72</v>
      </c>
      <c r="L800">
        <v>67</v>
      </c>
      <c r="M800">
        <v>1</v>
      </c>
      <c r="N800" s="5">
        <v>2591</v>
      </c>
      <c r="O800" t="s">
        <v>31</v>
      </c>
      <c r="P800" t="str">
        <f t="shared" si="25"/>
        <v>Hospital Provincial da Matola</v>
      </c>
      <c r="Q800" t="s">
        <v>37</v>
      </c>
      <c r="R800">
        <v>4</v>
      </c>
    </row>
    <row r="801" spans="1:18" x14ac:dyDescent="0.45">
      <c r="A801" t="s">
        <v>886</v>
      </c>
      <c r="B801" s="3">
        <v>45560</v>
      </c>
      <c r="C801">
        <v>34</v>
      </c>
      <c r="D801" t="s">
        <v>27</v>
      </c>
      <c r="E801">
        <v>71.3</v>
      </c>
      <c r="F801">
        <v>157.6</v>
      </c>
      <c r="G801" s="4">
        <f t="shared" si="24"/>
        <v>28.706292354866147</v>
      </c>
      <c r="H801" t="s">
        <v>99</v>
      </c>
      <c r="I801" t="s">
        <v>100</v>
      </c>
      <c r="J801">
        <v>103</v>
      </c>
      <c r="K801">
        <v>68</v>
      </c>
      <c r="L801">
        <v>70</v>
      </c>
      <c r="M801">
        <v>9</v>
      </c>
      <c r="N801" s="5">
        <v>31181.01</v>
      </c>
      <c r="O801" t="s">
        <v>43</v>
      </c>
      <c r="P801" t="str">
        <f t="shared" si="25"/>
        <v>Hospital Central da Beira</v>
      </c>
      <c r="Q801" t="s">
        <v>24</v>
      </c>
      <c r="R801">
        <v>4</v>
      </c>
    </row>
    <row r="802" spans="1:18" x14ac:dyDescent="0.45">
      <c r="A802" t="s">
        <v>887</v>
      </c>
      <c r="B802" s="3">
        <v>45087</v>
      </c>
      <c r="C802">
        <v>33</v>
      </c>
      <c r="D802" t="s">
        <v>27</v>
      </c>
      <c r="E802">
        <v>75.8</v>
      </c>
      <c r="F802">
        <v>167.1</v>
      </c>
      <c r="G802" s="4">
        <f t="shared" si="24"/>
        <v>27.146653888400031</v>
      </c>
      <c r="H802" t="s">
        <v>34</v>
      </c>
      <c r="I802" t="s">
        <v>35</v>
      </c>
      <c r="J802">
        <v>109</v>
      </c>
      <c r="K802">
        <v>62</v>
      </c>
      <c r="L802">
        <v>82</v>
      </c>
      <c r="M802">
        <v>5</v>
      </c>
      <c r="N802" s="5">
        <v>12061.84</v>
      </c>
      <c r="O802" t="s">
        <v>43</v>
      </c>
      <c r="P802" t="str">
        <f t="shared" si="25"/>
        <v>Hospital Central da Beira</v>
      </c>
      <c r="Q802" t="s">
        <v>37</v>
      </c>
      <c r="R802">
        <v>3</v>
      </c>
    </row>
    <row r="803" spans="1:18" x14ac:dyDescent="0.45">
      <c r="A803" t="s">
        <v>888</v>
      </c>
      <c r="B803" s="3">
        <v>45348</v>
      </c>
      <c r="C803">
        <v>26</v>
      </c>
      <c r="D803" t="s">
        <v>27</v>
      </c>
      <c r="E803">
        <v>50.2</v>
      </c>
      <c r="F803">
        <v>163.80000000000001</v>
      </c>
      <c r="G803" s="4">
        <f t="shared" si="24"/>
        <v>18.71009197016523</v>
      </c>
      <c r="H803" t="s">
        <v>41</v>
      </c>
      <c r="I803" t="s">
        <v>113</v>
      </c>
      <c r="J803">
        <v>119</v>
      </c>
      <c r="K803">
        <v>67</v>
      </c>
      <c r="L803">
        <v>65</v>
      </c>
      <c r="M803">
        <v>1</v>
      </c>
      <c r="N803" s="5">
        <v>1925.86</v>
      </c>
      <c r="O803" t="s">
        <v>23</v>
      </c>
      <c r="P803" t="str">
        <f t="shared" si="25"/>
        <v>Hospital Central de Maputo</v>
      </c>
      <c r="Q803" t="s">
        <v>202</v>
      </c>
      <c r="R803">
        <v>5</v>
      </c>
    </row>
    <row r="804" spans="1:18" x14ac:dyDescent="0.45">
      <c r="A804" t="s">
        <v>889</v>
      </c>
      <c r="B804" s="3">
        <v>45266</v>
      </c>
      <c r="C804">
        <v>33</v>
      </c>
      <c r="D804" t="s">
        <v>20</v>
      </c>
      <c r="E804">
        <v>70.599999999999994</v>
      </c>
      <c r="F804">
        <v>164.5</v>
      </c>
      <c r="G804" s="4">
        <f t="shared" si="24"/>
        <v>26.089928954832271</v>
      </c>
      <c r="H804" t="s">
        <v>91</v>
      </c>
      <c r="I804" t="s">
        <v>116</v>
      </c>
      <c r="J804">
        <v>118</v>
      </c>
      <c r="K804">
        <v>84</v>
      </c>
      <c r="L804">
        <v>65</v>
      </c>
      <c r="M804">
        <v>3</v>
      </c>
      <c r="N804" s="5">
        <v>10487.73</v>
      </c>
      <c r="O804" t="s">
        <v>51</v>
      </c>
      <c r="P804" t="str">
        <f t="shared" si="25"/>
        <v>Hospital Central de Quelimane</v>
      </c>
      <c r="Q804" t="s">
        <v>24</v>
      </c>
      <c r="R804">
        <v>3</v>
      </c>
    </row>
    <row r="805" spans="1:18" x14ac:dyDescent="0.45">
      <c r="A805" t="s">
        <v>890</v>
      </c>
      <c r="B805" s="3">
        <v>45502</v>
      </c>
      <c r="C805">
        <v>40</v>
      </c>
      <c r="D805" t="s">
        <v>27</v>
      </c>
      <c r="E805">
        <v>69.2</v>
      </c>
      <c r="F805">
        <v>165.3</v>
      </c>
      <c r="G805" s="4">
        <f t="shared" si="24"/>
        <v>25.325637560116366</v>
      </c>
      <c r="H805" t="s">
        <v>99</v>
      </c>
      <c r="I805" t="s">
        <v>103</v>
      </c>
      <c r="J805">
        <v>126</v>
      </c>
      <c r="K805">
        <v>74</v>
      </c>
      <c r="L805">
        <v>66</v>
      </c>
      <c r="M805">
        <v>4</v>
      </c>
      <c r="N805" s="5">
        <v>9416.14</v>
      </c>
      <c r="O805" t="s">
        <v>38</v>
      </c>
      <c r="P805" t="str">
        <f t="shared" si="25"/>
        <v>Hospital Provincial de Xai-Xai</v>
      </c>
      <c r="Q805" t="s">
        <v>24</v>
      </c>
      <c r="R805">
        <v>5</v>
      </c>
    </row>
    <row r="806" spans="1:18" x14ac:dyDescent="0.45">
      <c r="A806" t="s">
        <v>891</v>
      </c>
      <c r="B806" s="3">
        <v>45382</v>
      </c>
      <c r="C806">
        <v>28</v>
      </c>
      <c r="D806" t="s">
        <v>20</v>
      </c>
      <c r="E806">
        <v>54.7</v>
      </c>
      <c r="F806">
        <v>170.4</v>
      </c>
      <c r="G806" s="4">
        <f t="shared" si="24"/>
        <v>18.838579206065816</v>
      </c>
      <c r="H806" t="s">
        <v>46</v>
      </c>
      <c r="I806" t="s">
        <v>94</v>
      </c>
      <c r="J806">
        <v>90</v>
      </c>
      <c r="K806">
        <v>57</v>
      </c>
      <c r="L806">
        <v>65</v>
      </c>
      <c r="M806">
        <v>1</v>
      </c>
      <c r="N806" s="5">
        <v>4287.08</v>
      </c>
      <c r="O806" t="s">
        <v>43</v>
      </c>
      <c r="P806" t="str">
        <f t="shared" si="25"/>
        <v>Hospital Central da Beira</v>
      </c>
      <c r="Q806" t="s">
        <v>24</v>
      </c>
      <c r="R806">
        <v>4</v>
      </c>
    </row>
    <row r="807" spans="1:18" x14ac:dyDescent="0.45">
      <c r="A807" t="s">
        <v>892</v>
      </c>
      <c r="B807" s="3">
        <v>45614</v>
      </c>
      <c r="C807">
        <v>14</v>
      </c>
      <c r="D807" t="s">
        <v>27</v>
      </c>
      <c r="E807">
        <v>61</v>
      </c>
      <c r="F807">
        <v>165.6</v>
      </c>
      <c r="G807" s="4">
        <f t="shared" si="24"/>
        <v>22.243809657168196</v>
      </c>
      <c r="H807" t="s">
        <v>99</v>
      </c>
      <c r="I807" t="s">
        <v>105</v>
      </c>
      <c r="J807">
        <v>112</v>
      </c>
      <c r="K807">
        <v>73</v>
      </c>
      <c r="L807">
        <v>79</v>
      </c>
      <c r="M807">
        <v>19</v>
      </c>
      <c r="N807" s="5">
        <v>54338.879999999997</v>
      </c>
      <c r="O807" t="s">
        <v>36</v>
      </c>
      <c r="P807" t="str">
        <f t="shared" si="25"/>
        <v>Hospital Provincial de Lichinga</v>
      </c>
      <c r="Q807" t="s">
        <v>24</v>
      </c>
      <c r="R807">
        <v>5</v>
      </c>
    </row>
    <row r="808" spans="1:18" x14ac:dyDescent="0.45">
      <c r="A808" t="s">
        <v>893</v>
      </c>
      <c r="B808" s="3">
        <v>45012</v>
      </c>
      <c r="C808">
        <v>43</v>
      </c>
      <c r="D808" t="s">
        <v>27</v>
      </c>
      <c r="E808">
        <v>66.5</v>
      </c>
      <c r="F808">
        <v>181.9</v>
      </c>
      <c r="G808" s="4">
        <f t="shared" si="24"/>
        <v>20.098157588293628</v>
      </c>
      <c r="H808" t="s">
        <v>55</v>
      </c>
      <c r="I808" t="s">
        <v>56</v>
      </c>
      <c r="J808">
        <v>110</v>
      </c>
      <c r="K808">
        <v>70</v>
      </c>
      <c r="L808">
        <v>97</v>
      </c>
      <c r="M808">
        <v>1</v>
      </c>
      <c r="N808" s="5">
        <v>7036.36</v>
      </c>
      <c r="O808" t="s">
        <v>43</v>
      </c>
      <c r="P808" t="str">
        <f t="shared" si="25"/>
        <v>Hospital Central da Beira</v>
      </c>
      <c r="Q808" t="s">
        <v>37</v>
      </c>
      <c r="R808">
        <v>2</v>
      </c>
    </row>
    <row r="809" spans="1:18" x14ac:dyDescent="0.45">
      <c r="A809" t="s">
        <v>894</v>
      </c>
      <c r="B809" s="3">
        <v>45171</v>
      </c>
      <c r="C809">
        <v>13</v>
      </c>
      <c r="D809" t="s">
        <v>27</v>
      </c>
      <c r="E809">
        <v>83.3</v>
      </c>
      <c r="F809">
        <v>158.30000000000001</v>
      </c>
      <c r="G809" s="4">
        <f t="shared" si="24"/>
        <v>33.241695861229275</v>
      </c>
      <c r="H809" t="s">
        <v>28</v>
      </c>
      <c r="I809" t="s">
        <v>50</v>
      </c>
      <c r="J809">
        <v>110</v>
      </c>
      <c r="K809">
        <v>68</v>
      </c>
      <c r="L809">
        <v>67</v>
      </c>
      <c r="M809">
        <v>1</v>
      </c>
      <c r="N809" s="5">
        <v>3172.95</v>
      </c>
      <c r="O809" t="s">
        <v>36</v>
      </c>
      <c r="P809" t="str">
        <f t="shared" si="25"/>
        <v>Hospital Provincial de Lichinga</v>
      </c>
      <c r="Q809" t="s">
        <v>24</v>
      </c>
      <c r="R809">
        <v>5</v>
      </c>
    </row>
    <row r="810" spans="1:18" x14ac:dyDescent="0.45">
      <c r="A810" t="s">
        <v>895</v>
      </c>
      <c r="B810" s="3">
        <v>44946</v>
      </c>
      <c r="C810">
        <v>51</v>
      </c>
      <c r="D810" t="s">
        <v>27</v>
      </c>
      <c r="E810">
        <v>60.8</v>
      </c>
      <c r="F810">
        <v>158</v>
      </c>
      <c r="G810" s="4">
        <f t="shared" si="24"/>
        <v>24.355071302675849</v>
      </c>
      <c r="H810" t="s">
        <v>91</v>
      </c>
      <c r="I810" t="s">
        <v>92</v>
      </c>
      <c r="J810">
        <v>111</v>
      </c>
      <c r="K810">
        <v>64</v>
      </c>
      <c r="L810">
        <v>103</v>
      </c>
      <c r="M810">
        <v>2</v>
      </c>
      <c r="N810" s="5">
        <v>8286.7999999999993</v>
      </c>
      <c r="O810" t="s">
        <v>51</v>
      </c>
      <c r="P810" t="str">
        <f t="shared" si="25"/>
        <v>Hospital Central de Quelimane</v>
      </c>
      <c r="Q810" t="s">
        <v>24</v>
      </c>
      <c r="R810">
        <v>4</v>
      </c>
    </row>
    <row r="811" spans="1:18" x14ac:dyDescent="0.45">
      <c r="A811" t="s">
        <v>896</v>
      </c>
      <c r="B811" s="3">
        <v>45194</v>
      </c>
      <c r="C811">
        <v>34</v>
      </c>
      <c r="D811" t="s">
        <v>20</v>
      </c>
      <c r="E811">
        <v>73.099999999999994</v>
      </c>
      <c r="F811">
        <v>182.8</v>
      </c>
      <c r="G811" s="4">
        <f t="shared" si="24"/>
        <v>21.87585288892932</v>
      </c>
      <c r="H811" t="s">
        <v>41</v>
      </c>
      <c r="I811" t="s">
        <v>217</v>
      </c>
      <c r="J811">
        <v>88</v>
      </c>
      <c r="K811">
        <v>62</v>
      </c>
      <c r="L811">
        <v>65</v>
      </c>
      <c r="M811">
        <v>1</v>
      </c>
      <c r="N811" s="5">
        <v>4158.01</v>
      </c>
      <c r="O811" t="s">
        <v>38</v>
      </c>
      <c r="P811" t="str">
        <f t="shared" si="25"/>
        <v>Hospital Provincial de Xai-Xai</v>
      </c>
      <c r="Q811" t="s">
        <v>24</v>
      </c>
      <c r="R811">
        <v>2</v>
      </c>
    </row>
    <row r="812" spans="1:18" x14ac:dyDescent="0.45">
      <c r="A812" t="s">
        <v>897</v>
      </c>
      <c r="B812" s="3">
        <v>45512</v>
      </c>
      <c r="C812">
        <v>39</v>
      </c>
      <c r="D812" t="s">
        <v>20</v>
      </c>
      <c r="E812">
        <v>63.1</v>
      </c>
      <c r="F812">
        <v>162.1</v>
      </c>
      <c r="G812" s="4">
        <f t="shared" si="24"/>
        <v>24.01393493251171</v>
      </c>
      <c r="H812" t="s">
        <v>46</v>
      </c>
      <c r="I812" t="s">
        <v>47</v>
      </c>
      <c r="J812">
        <v>104</v>
      </c>
      <c r="K812">
        <v>66</v>
      </c>
      <c r="L812">
        <v>86</v>
      </c>
      <c r="M812">
        <v>3</v>
      </c>
      <c r="N812" s="5">
        <v>12967.19</v>
      </c>
      <c r="O812" t="s">
        <v>57</v>
      </c>
      <c r="P812" t="str">
        <f t="shared" si="25"/>
        <v>Hospital Provincial de Tete</v>
      </c>
      <c r="Q812" t="s">
        <v>24</v>
      </c>
      <c r="R812">
        <v>4</v>
      </c>
    </row>
    <row r="813" spans="1:18" x14ac:dyDescent="0.45">
      <c r="A813" t="s">
        <v>898</v>
      </c>
      <c r="B813" s="3">
        <v>45554</v>
      </c>
      <c r="C813">
        <v>62</v>
      </c>
      <c r="D813" t="s">
        <v>20</v>
      </c>
      <c r="E813">
        <v>71.5</v>
      </c>
      <c r="F813">
        <v>178.4</v>
      </c>
      <c r="G813" s="4">
        <f t="shared" si="24"/>
        <v>22.465513080898468</v>
      </c>
      <c r="H813" t="s">
        <v>21</v>
      </c>
      <c r="I813" t="s">
        <v>22</v>
      </c>
      <c r="J813">
        <v>167</v>
      </c>
      <c r="K813">
        <v>108</v>
      </c>
      <c r="L813">
        <v>102</v>
      </c>
      <c r="M813">
        <v>4</v>
      </c>
      <c r="N813" s="5">
        <v>8356.65</v>
      </c>
      <c r="O813" t="s">
        <v>30</v>
      </c>
      <c r="P813" t="str">
        <f t="shared" si="25"/>
        <v>Hospital Provincial de Inhambane</v>
      </c>
      <c r="Q813" t="s">
        <v>24</v>
      </c>
      <c r="R813">
        <v>3</v>
      </c>
    </row>
    <row r="814" spans="1:18" x14ac:dyDescent="0.45">
      <c r="A814" t="s">
        <v>899</v>
      </c>
      <c r="B814" s="3">
        <v>45129</v>
      </c>
      <c r="C814">
        <v>43</v>
      </c>
      <c r="D814" t="s">
        <v>27</v>
      </c>
      <c r="E814">
        <v>50.6</v>
      </c>
      <c r="F814">
        <v>169.8</v>
      </c>
      <c r="G814" s="4">
        <f t="shared" si="24"/>
        <v>17.549920158268367</v>
      </c>
      <c r="H814" t="s">
        <v>55</v>
      </c>
      <c r="I814" t="s">
        <v>80</v>
      </c>
      <c r="J814">
        <v>122</v>
      </c>
      <c r="K814">
        <v>89</v>
      </c>
      <c r="L814">
        <v>113</v>
      </c>
      <c r="M814">
        <v>1</v>
      </c>
      <c r="N814" s="5">
        <v>6803.65</v>
      </c>
      <c r="O814" t="s">
        <v>31</v>
      </c>
      <c r="P814" t="str">
        <f t="shared" si="25"/>
        <v>Hospital Provincial da Matola</v>
      </c>
      <c r="Q814" t="s">
        <v>24</v>
      </c>
      <c r="R814">
        <v>5</v>
      </c>
    </row>
    <row r="815" spans="1:18" x14ac:dyDescent="0.45">
      <c r="A815" t="s">
        <v>900</v>
      </c>
      <c r="B815" s="3">
        <v>45119</v>
      </c>
      <c r="C815">
        <v>27</v>
      </c>
      <c r="D815" t="s">
        <v>27</v>
      </c>
      <c r="E815">
        <v>53.4</v>
      </c>
      <c r="F815">
        <v>156.5</v>
      </c>
      <c r="G815" s="4">
        <f t="shared" si="24"/>
        <v>21.802815176229217</v>
      </c>
      <c r="H815" t="s">
        <v>99</v>
      </c>
      <c r="I815" t="s">
        <v>100</v>
      </c>
      <c r="J815">
        <v>98</v>
      </c>
      <c r="K815">
        <v>55</v>
      </c>
      <c r="L815">
        <v>75</v>
      </c>
      <c r="M815">
        <v>1</v>
      </c>
      <c r="N815" s="5">
        <v>5036.8599999999997</v>
      </c>
      <c r="O815" t="s">
        <v>51</v>
      </c>
      <c r="P815" t="str">
        <f t="shared" si="25"/>
        <v>Hospital Central de Quelimane</v>
      </c>
      <c r="Q815" t="s">
        <v>24</v>
      </c>
      <c r="R815">
        <v>4</v>
      </c>
    </row>
    <row r="816" spans="1:18" x14ac:dyDescent="0.45">
      <c r="A816" t="s">
        <v>901</v>
      </c>
      <c r="B816" s="3">
        <v>45626</v>
      </c>
      <c r="C816">
        <v>5</v>
      </c>
      <c r="D816" t="s">
        <v>27</v>
      </c>
      <c r="E816">
        <v>28.4</v>
      </c>
      <c r="F816">
        <v>130.9</v>
      </c>
      <c r="G816" s="4">
        <f t="shared" si="24"/>
        <v>16.574446988323764</v>
      </c>
      <c r="H816" t="s">
        <v>28</v>
      </c>
      <c r="I816" t="s">
        <v>29</v>
      </c>
      <c r="J816">
        <v>105</v>
      </c>
      <c r="K816">
        <v>63</v>
      </c>
      <c r="L816">
        <v>87</v>
      </c>
      <c r="M816">
        <v>4</v>
      </c>
      <c r="N816" s="5">
        <v>13849.87</v>
      </c>
      <c r="O816" t="s">
        <v>36</v>
      </c>
      <c r="P816" t="str">
        <f t="shared" si="25"/>
        <v>Hospital Provincial de Lichinga</v>
      </c>
      <c r="Q816" t="s">
        <v>24</v>
      </c>
      <c r="R816">
        <v>4</v>
      </c>
    </row>
    <row r="817" spans="1:18" x14ac:dyDescent="0.45">
      <c r="A817" t="s">
        <v>902</v>
      </c>
      <c r="B817" s="3">
        <v>45297</v>
      </c>
      <c r="C817">
        <v>19</v>
      </c>
      <c r="D817" t="s">
        <v>20</v>
      </c>
      <c r="E817">
        <v>70</v>
      </c>
      <c r="F817">
        <v>148.9</v>
      </c>
      <c r="G817" s="4">
        <f t="shared" si="24"/>
        <v>31.57247619773571</v>
      </c>
      <c r="H817" t="s">
        <v>55</v>
      </c>
      <c r="I817" t="s">
        <v>62</v>
      </c>
      <c r="J817">
        <v>93</v>
      </c>
      <c r="K817">
        <v>58</v>
      </c>
      <c r="L817">
        <v>89</v>
      </c>
      <c r="M817">
        <v>28</v>
      </c>
      <c r="N817" s="5">
        <v>41374.769999999997</v>
      </c>
      <c r="O817" t="s">
        <v>23</v>
      </c>
      <c r="P817" t="str">
        <f t="shared" si="25"/>
        <v>Hospital Central de Maputo</v>
      </c>
      <c r="Q817" t="s">
        <v>24</v>
      </c>
      <c r="R817">
        <v>4</v>
      </c>
    </row>
    <row r="818" spans="1:18" x14ac:dyDescent="0.45">
      <c r="A818" t="s">
        <v>903</v>
      </c>
      <c r="B818" s="3">
        <v>45399</v>
      </c>
      <c r="C818">
        <v>23</v>
      </c>
      <c r="D818" t="s">
        <v>27</v>
      </c>
      <c r="E818">
        <v>69.8</v>
      </c>
      <c r="F818">
        <v>144.19999999999999</v>
      </c>
      <c r="G818" s="4">
        <f t="shared" si="24"/>
        <v>33.567956355885741</v>
      </c>
      <c r="H818" t="s">
        <v>34</v>
      </c>
      <c r="I818" t="s">
        <v>35</v>
      </c>
      <c r="J818">
        <v>102</v>
      </c>
      <c r="K818">
        <v>64</v>
      </c>
      <c r="L818">
        <v>88</v>
      </c>
      <c r="M818">
        <v>1</v>
      </c>
      <c r="N818" s="5">
        <v>2802.54</v>
      </c>
      <c r="O818" t="s">
        <v>36</v>
      </c>
      <c r="P818" t="str">
        <f t="shared" si="25"/>
        <v>Hospital Provincial de Lichinga</v>
      </c>
      <c r="Q818" t="s">
        <v>24</v>
      </c>
      <c r="R818">
        <v>4</v>
      </c>
    </row>
    <row r="819" spans="1:18" x14ac:dyDescent="0.45">
      <c r="A819" t="s">
        <v>904</v>
      </c>
      <c r="B819" s="3">
        <v>44941</v>
      </c>
      <c r="C819">
        <v>20</v>
      </c>
      <c r="D819" t="s">
        <v>27</v>
      </c>
      <c r="E819">
        <v>87.6</v>
      </c>
      <c r="F819">
        <v>175.7</v>
      </c>
      <c r="G819" s="4">
        <f t="shared" si="24"/>
        <v>28.376614689303608</v>
      </c>
      <c r="H819" t="s">
        <v>46</v>
      </c>
      <c r="I819" t="s">
        <v>94</v>
      </c>
      <c r="J819">
        <v>108</v>
      </c>
      <c r="K819">
        <v>68</v>
      </c>
      <c r="L819">
        <v>73</v>
      </c>
      <c r="M819">
        <v>1</v>
      </c>
      <c r="N819" s="5">
        <v>3134.62</v>
      </c>
      <c r="O819" t="s">
        <v>63</v>
      </c>
      <c r="P819" t="str">
        <f t="shared" si="25"/>
        <v>Hospital Central de Nampula</v>
      </c>
      <c r="Q819" t="s">
        <v>37</v>
      </c>
      <c r="R819">
        <v>3</v>
      </c>
    </row>
    <row r="820" spans="1:18" x14ac:dyDescent="0.45">
      <c r="A820" t="s">
        <v>905</v>
      </c>
      <c r="B820" s="3">
        <v>45121</v>
      </c>
      <c r="C820">
        <v>40</v>
      </c>
      <c r="D820" t="s">
        <v>27</v>
      </c>
      <c r="E820">
        <v>75.900000000000006</v>
      </c>
      <c r="F820">
        <v>143.1</v>
      </c>
      <c r="G820" s="4">
        <f t="shared" si="24"/>
        <v>37.064872316642422</v>
      </c>
      <c r="H820" t="s">
        <v>55</v>
      </c>
      <c r="I820" t="s">
        <v>56</v>
      </c>
      <c r="J820">
        <v>132</v>
      </c>
      <c r="K820">
        <v>95</v>
      </c>
      <c r="L820">
        <v>132</v>
      </c>
      <c r="M820">
        <v>1</v>
      </c>
      <c r="N820" s="5">
        <v>5221.32</v>
      </c>
      <c r="O820" t="s">
        <v>38</v>
      </c>
      <c r="P820" t="str">
        <f t="shared" si="25"/>
        <v>Hospital Provincial de Xai-Xai</v>
      </c>
      <c r="Q820" t="s">
        <v>24</v>
      </c>
      <c r="R820">
        <v>5</v>
      </c>
    </row>
    <row r="821" spans="1:18" x14ac:dyDescent="0.45">
      <c r="A821" t="s">
        <v>906</v>
      </c>
      <c r="B821" s="3">
        <v>45148</v>
      </c>
      <c r="C821">
        <v>53</v>
      </c>
      <c r="D821" t="s">
        <v>27</v>
      </c>
      <c r="E821">
        <v>56</v>
      </c>
      <c r="F821">
        <v>157.5</v>
      </c>
      <c r="G821" s="4">
        <f t="shared" si="24"/>
        <v>22.574955908289244</v>
      </c>
      <c r="H821" t="s">
        <v>41</v>
      </c>
      <c r="I821" t="s">
        <v>42</v>
      </c>
      <c r="J821">
        <v>115</v>
      </c>
      <c r="K821">
        <v>79</v>
      </c>
      <c r="L821">
        <v>72</v>
      </c>
      <c r="M821">
        <v>3</v>
      </c>
      <c r="N821" s="5">
        <v>6810.97</v>
      </c>
      <c r="O821" t="s">
        <v>51</v>
      </c>
      <c r="P821" t="str">
        <f t="shared" si="25"/>
        <v>Hospital Central de Quelimane</v>
      </c>
      <c r="Q821" t="s">
        <v>24</v>
      </c>
      <c r="R821">
        <v>4</v>
      </c>
    </row>
    <row r="822" spans="1:18" x14ac:dyDescent="0.45">
      <c r="A822" t="s">
        <v>907</v>
      </c>
      <c r="B822" s="3">
        <v>45411</v>
      </c>
      <c r="C822">
        <v>23</v>
      </c>
      <c r="D822" t="s">
        <v>20</v>
      </c>
      <c r="E822">
        <v>68.099999999999994</v>
      </c>
      <c r="F822">
        <v>157.6</v>
      </c>
      <c r="G822" s="4">
        <f t="shared" si="24"/>
        <v>27.417931407663175</v>
      </c>
      <c r="H822" t="s">
        <v>21</v>
      </c>
      <c r="I822" t="s">
        <v>123</v>
      </c>
      <c r="J822">
        <v>105</v>
      </c>
      <c r="K822">
        <v>68</v>
      </c>
      <c r="L822">
        <v>99</v>
      </c>
      <c r="M822">
        <v>9</v>
      </c>
      <c r="N822" s="5">
        <v>31270.43</v>
      </c>
      <c r="O822" t="s">
        <v>52</v>
      </c>
      <c r="P822" t="str">
        <f t="shared" si="25"/>
        <v>Hospital Provincial de Chimoio</v>
      </c>
      <c r="Q822" t="s">
        <v>24</v>
      </c>
      <c r="R822">
        <v>4</v>
      </c>
    </row>
    <row r="823" spans="1:18" x14ac:dyDescent="0.45">
      <c r="A823" t="s">
        <v>908</v>
      </c>
      <c r="B823" s="3">
        <v>45126</v>
      </c>
      <c r="C823">
        <v>27</v>
      </c>
      <c r="D823" t="s">
        <v>20</v>
      </c>
      <c r="E823">
        <v>48.1</v>
      </c>
      <c r="F823">
        <v>159.80000000000001</v>
      </c>
      <c r="G823" s="4">
        <f t="shared" si="24"/>
        <v>18.836123376999719</v>
      </c>
      <c r="H823" t="s">
        <v>34</v>
      </c>
      <c r="I823" t="s">
        <v>138</v>
      </c>
      <c r="J823">
        <v>114</v>
      </c>
      <c r="K823">
        <v>66</v>
      </c>
      <c r="L823">
        <v>65</v>
      </c>
      <c r="M823">
        <v>1</v>
      </c>
      <c r="N823" s="5">
        <v>4716.5200000000004</v>
      </c>
      <c r="O823" t="s">
        <v>23</v>
      </c>
      <c r="P823" t="str">
        <f t="shared" si="25"/>
        <v>Hospital Central de Maputo</v>
      </c>
      <c r="Q823" t="s">
        <v>24</v>
      </c>
      <c r="R823">
        <v>4</v>
      </c>
    </row>
    <row r="824" spans="1:18" x14ac:dyDescent="0.45">
      <c r="A824" t="s">
        <v>909</v>
      </c>
      <c r="B824" s="3">
        <v>45400</v>
      </c>
      <c r="C824">
        <v>24</v>
      </c>
      <c r="D824" t="s">
        <v>27</v>
      </c>
      <c r="E824">
        <v>43.1</v>
      </c>
      <c r="F824">
        <v>165.7</v>
      </c>
      <c r="G824" s="4">
        <f t="shared" si="24"/>
        <v>15.697563672559752</v>
      </c>
      <c r="H824" t="s">
        <v>21</v>
      </c>
      <c r="I824" t="s">
        <v>89</v>
      </c>
      <c r="J824">
        <v>133</v>
      </c>
      <c r="K824">
        <v>85</v>
      </c>
      <c r="L824">
        <v>92</v>
      </c>
      <c r="M824">
        <v>1</v>
      </c>
      <c r="N824" s="5">
        <v>3970.43</v>
      </c>
      <c r="O824" t="s">
        <v>63</v>
      </c>
      <c r="P824" t="str">
        <f t="shared" si="25"/>
        <v>Hospital Central de Nampula</v>
      </c>
      <c r="Q824" t="s">
        <v>24</v>
      </c>
      <c r="R824">
        <v>3</v>
      </c>
    </row>
    <row r="825" spans="1:18" x14ac:dyDescent="0.45">
      <c r="A825" t="s">
        <v>910</v>
      </c>
      <c r="B825" s="3">
        <v>45206</v>
      </c>
      <c r="C825">
        <v>33</v>
      </c>
      <c r="D825" t="s">
        <v>27</v>
      </c>
      <c r="E825">
        <v>54.9</v>
      </c>
      <c r="F825">
        <v>154.19999999999999</v>
      </c>
      <c r="G825" s="4">
        <f t="shared" si="24"/>
        <v>23.088918832987634</v>
      </c>
      <c r="H825" t="s">
        <v>41</v>
      </c>
      <c r="I825" t="s">
        <v>42</v>
      </c>
      <c r="J825">
        <v>120</v>
      </c>
      <c r="K825">
        <v>66</v>
      </c>
      <c r="L825">
        <v>112</v>
      </c>
      <c r="M825">
        <v>1</v>
      </c>
      <c r="N825" s="5">
        <v>5466.9</v>
      </c>
      <c r="O825" t="s">
        <v>31</v>
      </c>
      <c r="P825" t="str">
        <f t="shared" si="25"/>
        <v>Hospital Provincial da Matola</v>
      </c>
      <c r="Q825" t="s">
        <v>37</v>
      </c>
      <c r="R825">
        <v>3</v>
      </c>
    </row>
    <row r="826" spans="1:18" x14ac:dyDescent="0.45">
      <c r="A826" t="s">
        <v>911</v>
      </c>
      <c r="B826" s="3">
        <v>45312</v>
      </c>
      <c r="C826">
        <v>31</v>
      </c>
      <c r="D826" t="s">
        <v>27</v>
      </c>
      <c r="E826">
        <v>71.7</v>
      </c>
      <c r="F826">
        <v>161.19999999999999</v>
      </c>
      <c r="G826" s="4">
        <f t="shared" si="24"/>
        <v>27.592374806814899</v>
      </c>
      <c r="H826" t="s">
        <v>46</v>
      </c>
      <c r="I826" t="s">
        <v>47</v>
      </c>
      <c r="J826">
        <v>111</v>
      </c>
      <c r="K826">
        <v>70</v>
      </c>
      <c r="L826">
        <v>77</v>
      </c>
      <c r="M826">
        <v>1</v>
      </c>
      <c r="N826" s="5">
        <v>6362.57</v>
      </c>
      <c r="O826" t="s">
        <v>43</v>
      </c>
      <c r="P826" t="str">
        <f t="shared" si="25"/>
        <v>Hospital Central da Beira</v>
      </c>
      <c r="Q826" t="s">
        <v>24</v>
      </c>
      <c r="R826">
        <v>3</v>
      </c>
    </row>
    <row r="827" spans="1:18" x14ac:dyDescent="0.45">
      <c r="A827" t="s">
        <v>912</v>
      </c>
      <c r="B827" s="3">
        <v>45381</v>
      </c>
      <c r="C827">
        <v>24</v>
      </c>
      <c r="D827" t="s">
        <v>27</v>
      </c>
      <c r="E827">
        <v>66.2</v>
      </c>
      <c r="F827">
        <v>157.30000000000001</v>
      </c>
      <c r="G827" s="4">
        <f t="shared" si="24"/>
        <v>26.754728251578506</v>
      </c>
      <c r="H827" t="s">
        <v>21</v>
      </c>
      <c r="I827" t="s">
        <v>123</v>
      </c>
      <c r="J827">
        <v>101</v>
      </c>
      <c r="K827">
        <v>59</v>
      </c>
      <c r="L827">
        <v>74</v>
      </c>
      <c r="M827">
        <v>1</v>
      </c>
      <c r="N827" s="5">
        <v>2632.84</v>
      </c>
      <c r="O827" t="s">
        <v>43</v>
      </c>
      <c r="P827" t="str">
        <f t="shared" si="25"/>
        <v>Hospital Central da Beira</v>
      </c>
      <c r="Q827" t="s">
        <v>24</v>
      </c>
      <c r="R827">
        <v>5</v>
      </c>
    </row>
    <row r="828" spans="1:18" x14ac:dyDescent="0.45">
      <c r="A828" t="s">
        <v>913</v>
      </c>
      <c r="B828" s="3">
        <v>45311</v>
      </c>
      <c r="C828">
        <v>30</v>
      </c>
      <c r="D828" t="s">
        <v>20</v>
      </c>
      <c r="E828">
        <v>70.5</v>
      </c>
      <c r="F828">
        <v>156.69999999999999</v>
      </c>
      <c r="G828" s="4">
        <f t="shared" si="24"/>
        <v>28.711185429867534</v>
      </c>
      <c r="H828" t="s">
        <v>46</v>
      </c>
      <c r="I828" t="s">
        <v>108</v>
      </c>
      <c r="J828">
        <v>113</v>
      </c>
      <c r="K828">
        <v>68</v>
      </c>
      <c r="L828">
        <v>84</v>
      </c>
      <c r="M828">
        <v>3</v>
      </c>
      <c r="N828" s="5">
        <v>9567.65</v>
      </c>
      <c r="O828" t="s">
        <v>51</v>
      </c>
      <c r="P828" t="str">
        <f t="shared" si="25"/>
        <v>Hospital Central de Quelimane</v>
      </c>
      <c r="Q828" t="s">
        <v>24</v>
      </c>
      <c r="R828">
        <v>2</v>
      </c>
    </row>
    <row r="829" spans="1:18" x14ac:dyDescent="0.45">
      <c r="A829" t="s">
        <v>914</v>
      </c>
      <c r="B829" s="3">
        <v>44996</v>
      </c>
      <c r="C829">
        <v>16</v>
      </c>
      <c r="D829" t="s">
        <v>20</v>
      </c>
      <c r="E829">
        <v>72.2</v>
      </c>
      <c r="F829">
        <v>174.4</v>
      </c>
      <c r="G829" s="4">
        <f t="shared" si="24"/>
        <v>23.738006060095955</v>
      </c>
      <c r="H829" t="s">
        <v>28</v>
      </c>
      <c r="I829" t="s">
        <v>75</v>
      </c>
      <c r="J829">
        <v>103</v>
      </c>
      <c r="K829">
        <v>64</v>
      </c>
      <c r="L829">
        <v>65</v>
      </c>
      <c r="M829">
        <v>1</v>
      </c>
      <c r="N829" s="5">
        <v>4776.71</v>
      </c>
      <c r="O829" t="s">
        <v>52</v>
      </c>
      <c r="P829" t="str">
        <f t="shared" si="25"/>
        <v>Hospital Provincial de Chimoio</v>
      </c>
      <c r="Q829" t="s">
        <v>24</v>
      </c>
      <c r="R829">
        <v>4</v>
      </c>
    </row>
    <row r="830" spans="1:18" x14ac:dyDescent="0.45">
      <c r="A830" t="s">
        <v>915</v>
      </c>
      <c r="B830" s="3">
        <v>45584</v>
      </c>
      <c r="C830">
        <v>30</v>
      </c>
      <c r="D830" t="s">
        <v>27</v>
      </c>
      <c r="E830">
        <v>58.4</v>
      </c>
      <c r="F830">
        <v>161.80000000000001</v>
      </c>
      <c r="G830" s="4">
        <f t="shared" si="24"/>
        <v>22.307752249492342</v>
      </c>
      <c r="H830" t="s">
        <v>46</v>
      </c>
      <c r="I830" t="s">
        <v>94</v>
      </c>
      <c r="J830">
        <v>113</v>
      </c>
      <c r="K830">
        <v>74</v>
      </c>
      <c r="L830">
        <v>81</v>
      </c>
      <c r="M830">
        <v>1</v>
      </c>
      <c r="N830" s="5">
        <v>4711.7700000000004</v>
      </c>
      <c r="O830" t="s">
        <v>23</v>
      </c>
      <c r="P830" t="str">
        <f t="shared" si="25"/>
        <v>Hospital Central de Maputo</v>
      </c>
      <c r="Q830" t="s">
        <v>37</v>
      </c>
      <c r="R830">
        <v>3</v>
      </c>
    </row>
    <row r="831" spans="1:18" x14ac:dyDescent="0.45">
      <c r="A831" t="s">
        <v>916</v>
      </c>
      <c r="B831" s="3">
        <v>44970</v>
      </c>
      <c r="C831">
        <v>7</v>
      </c>
      <c r="D831" t="s">
        <v>20</v>
      </c>
      <c r="E831">
        <v>22.5</v>
      </c>
      <c r="F831">
        <v>117.5</v>
      </c>
      <c r="G831" s="4">
        <f t="shared" si="24"/>
        <v>16.296966953372564</v>
      </c>
      <c r="H831" t="s">
        <v>28</v>
      </c>
      <c r="I831" t="s">
        <v>75</v>
      </c>
      <c r="J831">
        <v>97</v>
      </c>
      <c r="K831">
        <v>65</v>
      </c>
      <c r="L831">
        <v>74</v>
      </c>
      <c r="M831">
        <v>2</v>
      </c>
      <c r="N831" s="5">
        <v>3805.23</v>
      </c>
      <c r="O831" t="s">
        <v>51</v>
      </c>
      <c r="P831" t="str">
        <f t="shared" si="25"/>
        <v>Hospital Central de Quelimane</v>
      </c>
      <c r="Q831" t="s">
        <v>24</v>
      </c>
      <c r="R831">
        <v>2</v>
      </c>
    </row>
    <row r="832" spans="1:18" x14ac:dyDescent="0.45">
      <c r="A832" t="s">
        <v>917</v>
      </c>
      <c r="B832" s="3">
        <v>45131</v>
      </c>
      <c r="C832">
        <v>15</v>
      </c>
      <c r="D832" t="s">
        <v>20</v>
      </c>
      <c r="E832">
        <v>61.1</v>
      </c>
      <c r="F832">
        <v>156.19999999999999</v>
      </c>
      <c r="G832" s="4">
        <f t="shared" si="24"/>
        <v>25.042584689840833</v>
      </c>
      <c r="H832" t="s">
        <v>28</v>
      </c>
      <c r="I832" t="s">
        <v>29</v>
      </c>
      <c r="J832">
        <v>109</v>
      </c>
      <c r="K832">
        <v>72</v>
      </c>
      <c r="L832">
        <v>72</v>
      </c>
      <c r="M832">
        <v>7</v>
      </c>
      <c r="N832" s="5">
        <v>13766.62</v>
      </c>
      <c r="O832" t="s">
        <v>23</v>
      </c>
      <c r="P832" t="str">
        <f t="shared" si="25"/>
        <v>Hospital Central de Maputo</v>
      </c>
      <c r="Q832" t="s">
        <v>24</v>
      </c>
      <c r="R832">
        <v>4</v>
      </c>
    </row>
    <row r="833" spans="1:18" x14ac:dyDescent="0.45">
      <c r="A833" t="s">
        <v>918</v>
      </c>
      <c r="B833" s="3">
        <v>45199</v>
      </c>
      <c r="C833">
        <v>44</v>
      </c>
      <c r="D833" t="s">
        <v>27</v>
      </c>
      <c r="E833">
        <v>58.6</v>
      </c>
      <c r="F833">
        <v>168.1</v>
      </c>
      <c r="G833" s="4">
        <f t="shared" si="24"/>
        <v>20.737776478619388</v>
      </c>
      <c r="H833" t="s">
        <v>41</v>
      </c>
      <c r="I833" t="s">
        <v>42</v>
      </c>
      <c r="J833">
        <v>126</v>
      </c>
      <c r="K833">
        <v>77</v>
      </c>
      <c r="L833">
        <v>99</v>
      </c>
      <c r="M833">
        <v>1</v>
      </c>
      <c r="N833" s="5">
        <v>3436.72</v>
      </c>
      <c r="O833" t="s">
        <v>51</v>
      </c>
      <c r="P833" t="str">
        <f t="shared" si="25"/>
        <v>Hospital Central de Quelimane</v>
      </c>
      <c r="Q833" t="s">
        <v>24</v>
      </c>
      <c r="R833">
        <v>4</v>
      </c>
    </row>
    <row r="834" spans="1:18" x14ac:dyDescent="0.45">
      <c r="A834" t="s">
        <v>919</v>
      </c>
      <c r="B834" s="3">
        <v>45116</v>
      </c>
      <c r="C834">
        <v>47</v>
      </c>
      <c r="D834" t="s">
        <v>20</v>
      </c>
      <c r="E834">
        <v>68.8</v>
      </c>
      <c r="F834">
        <v>149</v>
      </c>
      <c r="G834" s="4">
        <f t="shared" ref="G834:G897" si="26">E834/((F834/100)^2)</f>
        <v>30.989595063285435</v>
      </c>
      <c r="H834" t="s">
        <v>21</v>
      </c>
      <c r="I834" t="s">
        <v>70</v>
      </c>
      <c r="J834">
        <v>133</v>
      </c>
      <c r="K834">
        <v>82</v>
      </c>
      <c r="L834">
        <v>66</v>
      </c>
      <c r="M834">
        <v>4</v>
      </c>
      <c r="N834" s="5">
        <v>14892.57</v>
      </c>
      <c r="O834" t="s">
        <v>30</v>
      </c>
      <c r="P834" t="str">
        <f t="shared" ref="P834:P897" si="27">INDEX($U$2:$U$12,MATCH(O834,$T$2:$T$12,0))</f>
        <v>Hospital Provincial de Inhambane</v>
      </c>
      <c r="Q834" t="s">
        <v>24</v>
      </c>
      <c r="R834">
        <v>4</v>
      </c>
    </row>
    <row r="835" spans="1:18" x14ac:dyDescent="0.45">
      <c r="A835" t="s">
        <v>920</v>
      </c>
      <c r="B835" s="3">
        <v>45507</v>
      </c>
      <c r="C835">
        <v>0</v>
      </c>
      <c r="D835" t="s">
        <v>27</v>
      </c>
      <c r="E835">
        <v>25.5</v>
      </c>
      <c r="F835">
        <v>150</v>
      </c>
      <c r="G835" s="4">
        <f t="shared" si="26"/>
        <v>11.333333333333334</v>
      </c>
      <c r="H835" t="s">
        <v>28</v>
      </c>
      <c r="I835" t="s">
        <v>50</v>
      </c>
      <c r="J835">
        <v>105</v>
      </c>
      <c r="K835">
        <v>61</v>
      </c>
      <c r="L835">
        <v>102</v>
      </c>
      <c r="M835">
        <v>1</v>
      </c>
      <c r="N835" s="5">
        <v>5629.35</v>
      </c>
      <c r="O835" t="s">
        <v>31</v>
      </c>
      <c r="P835" t="str">
        <f t="shared" si="27"/>
        <v>Hospital Provincial da Matola</v>
      </c>
      <c r="Q835" t="s">
        <v>24</v>
      </c>
      <c r="R835">
        <v>4</v>
      </c>
    </row>
    <row r="836" spans="1:18" x14ac:dyDescent="0.45">
      <c r="A836" t="s">
        <v>921</v>
      </c>
      <c r="B836" s="3">
        <v>45219</v>
      </c>
      <c r="C836">
        <v>32</v>
      </c>
      <c r="D836" t="s">
        <v>20</v>
      </c>
      <c r="E836">
        <v>48.4</v>
      </c>
      <c r="F836">
        <v>176.2</v>
      </c>
      <c r="G836" s="4">
        <f t="shared" si="26"/>
        <v>15.589549075513975</v>
      </c>
      <c r="H836" t="s">
        <v>21</v>
      </c>
      <c r="I836" t="s">
        <v>22</v>
      </c>
      <c r="J836">
        <v>120</v>
      </c>
      <c r="K836">
        <v>66</v>
      </c>
      <c r="L836">
        <v>128</v>
      </c>
      <c r="M836">
        <v>1</v>
      </c>
      <c r="N836" s="5">
        <v>4138.41</v>
      </c>
      <c r="O836" t="s">
        <v>31</v>
      </c>
      <c r="P836" t="str">
        <f t="shared" si="27"/>
        <v>Hospital Provincial da Matola</v>
      </c>
      <c r="Q836" t="s">
        <v>24</v>
      </c>
      <c r="R836">
        <v>3</v>
      </c>
    </row>
    <row r="837" spans="1:18" x14ac:dyDescent="0.45">
      <c r="A837" t="s">
        <v>922</v>
      </c>
      <c r="B837" s="3">
        <v>45122</v>
      </c>
      <c r="C837">
        <v>25</v>
      </c>
      <c r="D837" t="s">
        <v>27</v>
      </c>
      <c r="E837">
        <v>69.7</v>
      </c>
      <c r="F837">
        <v>171.3</v>
      </c>
      <c r="G837" s="4">
        <f t="shared" si="26"/>
        <v>23.752977215885256</v>
      </c>
      <c r="H837" t="s">
        <v>46</v>
      </c>
      <c r="I837" t="s">
        <v>108</v>
      </c>
      <c r="J837">
        <v>130</v>
      </c>
      <c r="K837">
        <v>82</v>
      </c>
      <c r="L837">
        <v>100</v>
      </c>
      <c r="M837">
        <v>1</v>
      </c>
      <c r="N837" s="5">
        <v>6390.11</v>
      </c>
      <c r="O837" t="s">
        <v>63</v>
      </c>
      <c r="P837" t="str">
        <f t="shared" si="27"/>
        <v>Hospital Central de Nampula</v>
      </c>
      <c r="Q837" t="s">
        <v>24</v>
      </c>
      <c r="R837">
        <v>5</v>
      </c>
    </row>
    <row r="838" spans="1:18" x14ac:dyDescent="0.45">
      <c r="A838" t="s">
        <v>923</v>
      </c>
      <c r="B838" s="3">
        <v>45625</v>
      </c>
      <c r="C838">
        <v>22</v>
      </c>
      <c r="D838" t="s">
        <v>27</v>
      </c>
      <c r="E838">
        <v>69.2</v>
      </c>
      <c r="F838">
        <v>165</v>
      </c>
      <c r="G838" s="4">
        <f t="shared" si="26"/>
        <v>25.417814508723602</v>
      </c>
      <c r="H838" t="s">
        <v>99</v>
      </c>
      <c r="I838" t="s">
        <v>100</v>
      </c>
      <c r="J838">
        <v>106</v>
      </c>
      <c r="K838">
        <v>59</v>
      </c>
      <c r="L838">
        <v>109</v>
      </c>
      <c r="M838">
        <v>1</v>
      </c>
      <c r="N838" s="5">
        <v>3297.9</v>
      </c>
      <c r="O838" t="s">
        <v>23</v>
      </c>
      <c r="P838" t="str">
        <f t="shared" si="27"/>
        <v>Hospital Central de Maputo</v>
      </c>
      <c r="Q838" t="s">
        <v>24</v>
      </c>
      <c r="R838">
        <v>3</v>
      </c>
    </row>
    <row r="839" spans="1:18" x14ac:dyDescent="0.45">
      <c r="A839" t="s">
        <v>924</v>
      </c>
      <c r="B839" s="3">
        <v>45334</v>
      </c>
      <c r="C839">
        <v>20</v>
      </c>
      <c r="D839" t="s">
        <v>27</v>
      </c>
      <c r="E839">
        <v>69.5</v>
      </c>
      <c r="F839">
        <v>153.80000000000001</v>
      </c>
      <c r="G839" s="4">
        <f t="shared" si="26"/>
        <v>29.381376181384972</v>
      </c>
      <c r="H839" t="s">
        <v>21</v>
      </c>
      <c r="I839" t="s">
        <v>89</v>
      </c>
      <c r="J839">
        <v>133</v>
      </c>
      <c r="K839">
        <v>83</v>
      </c>
      <c r="L839">
        <v>109</v>
      </c>
      <c r="M839">
        <v>12</v>
      </c>
      <c r="N839" s="5">
        <v>37788.67</v>
      </c>
      <c r="O839" t="s">
        <v>51</v>
      </c>
      <c r="P839" t="str">
        <f t="shared" si="27"/>
        <v>Hospital Central de Quelimane</v>
      </c>
      <c r="Q839" t="s">
        <v>24</v>
      </c>
      <c r="R839">
        <v>3</v>
      </c>
    </row>
    <row r="840" spans="1:18" x14ac:dyDescent="0.45">
      <c r="A840" t="s">
        <v>925</v>
      </c>
      <c r="B840" s="3">
        <v>45614</v>
      </c>
      <c r="C840">
        <v>23</v>
      </c>
      <c r="D840" t="s">
        <v>27</v>
      </c>
      <c r="E840">
        <v>77</v>
      </c>
      <c r="F840">
        <v>163.9</v>
      </c>
      <c r="G840" s="4">
        <f t="shared" si="26"/>
        <v>28.663737505681564</v>
      </c>
      <c r="H840" t="s">
        <v>34</v>
      </c>
      <c r="I840" t="s">
        <v>138</v>
      </c>
      <c r="J840">
        <v>126</v>
      </c>
      <c r="K840">
        <v>78</v>
      </c>
      <c r="L840">
        <v>112</v>
      </c>
      <c r="M840">
        <v>2</v>
      </c>
      <c r="N840" s="5">
        <v>8294.31</v>
      </c>
      <c r="O840" t="s">
        <v>31</v>
      </c>
      <c r="P840" t="str">
        <f t="shared" si="27"/>
        <v>Hospital Provincial da Matola</v>
      </c>
      <c r="Q840" t="s">
        <v>37</v>
      </c>
      <c r="R840">
        <v>2</v>
      </c>
    </row>
    <row r="841" spans="1:18" x14ac:dyDescent="0.45">
      <c r="A841" t="s">
        <v>926</v>
      </c>
      <c r="B841" s="3">
        <v>45299</v>
      </c>
      <c r="C841">
        <v>18</v>
      </c>
      <c r="D841" t="s">
        <v>20</v>
      </c>
      <c r="E841">
        <v>50.4</v>
      </c>
      <c r="F841">
        <v>167.9</v>
      </c>
      <c r="G841" s="4">
        <f t="shared" si="26"/>
        <v>17.878420356426172</v>
      </c>
      <c r="H841" t="s">
        <v>55</v>
      </c>
      <c r="I841" t="s">
        <v>56</v>
      </c>
      <c r="J841">
        <v>89</v>
      </c>
      <c r="K841">
        <v>64</v>
      </c>
      <c r="L841">
        <v>84</v>
      </c>
      <c r="M841">
        <v>1</v>
      </c>
      <c r="N841" s="5">
        <v>5732.13</v>
      </c>
      <c r="O841" t="s">
        <v>57</v>
      </c>
      <c r="P841" t="str">
        <f t="shared" si="27"/>
        <v>Hospital Provincial de Tete</v>
      </c>
      <c r="Q841" t="s">
        <v>24</v>
      </c>
      <c r="R841">
        <v>5</v>
      </c>
    </row>
    <row r="842" spans="1:18" x14ac:dyDescent="0.45">
      <c r="A842" t="s">
        <v>927</v>
      </c>
      <c r="B842" s="3">
        <v>45226</v>
      </c>
      <c r="C842">
        <v>17</v>
      </c>
      <c r="D842" t="s">
        <v>27</v>
      </c>
      <c r="E842">
        <v>53</v>
      </c>
      <c r="F842">
        <v>158.9</v>
      </c>
      <c r="G842" s="4">
        <f t="shared" si="26"/>
        <v>20.990755750377932</v>
      </c>
      <c r="H842" t="s">
        <v>99</v>
      </c>
      <c r="I842" t="s">
        <v>100</v>
      </c>
      <c r="J842">
        <v>111</v>
      </c>
      <c r="K842">
        <v>68</v>
      </c>
      <c r="L842">
        <v>87</v>
      </c>
      <c r="M842">
        <v>10</v>
      </c>
      <c r="N842" s="5">
        <v>25843.06</v>
      </c>
      <c r="O842" t="s">
        <v>52</v>
      </c>
      <c r="P842" t="str">
        <f t="shared" si="27"/>
        <v>Hospital Provincial de Chimoio</v>
      </c>
      <c r="Q842" t="s">
        <v>24</v>
      </c>
      <c r="R842">
        <v>5</v>
      </c>
    </row>
    <row r="843" spans="1:18" x14ac:dyDescent="0.45">
      <c r="A843" t="s">
        <v>928</v>
      </c>
      <c r="B843" s="3">
        <v>45278</v>
      </c>
      <c r="C843">
        <v>47</v>
      </c>
      <c r="D843" t="s">
        <v>20</v>
      </c>
      <c r="E843">
        <v>51.4</v>
      </c>
      <c r="F843">
        <v>170</v>
      </c>
      <c r="G843" s="4">
        <f t="shared" si="26"/>
        <v>17.785467128027683</v>
      </c>
      <c r="H843" t="s">
        <v>55</v>
      </c>
      <c r="I843" t="s">
        <v>197</v>
      </c>
      <c r="J843">
        <v>139</v>
      </c>
      <c r="K843">
        <v>84</v>
      </c>
      <c r="L843">
        <v>98</v>
      </c>
      <c r="M843">
        <v>6</v>
      </c>
      <c r="N843" s="5">
        <v>22724.54</v>
      </c>
      <c r="O843" t="s">
        <v>52</v>
      </c>
      <c r="P843" t="str">
        <f t="shared" si="27"/>
        <v>Hospital Provincial de Chimoio</v>
      </c>
      <c r="Q843" t="s">
        <v>24</v>
      </c>
      <c r="R843">
        <v>4</v>
      </c>
    </row>
    <row r="844" spans="1:18" x14ac:dyDescent="0.45">
      <c r="A844" t="s">
        <v>929</v>
      </c>
      <c r="B844" s="3">
        <v>45187</v>
      </c>
      <c r="C844">
        <v>22</v>
      </c>
      <c r="D844" t="s">
        <v>20</v>
      </c>
      <c r="E844">
        <v>64.7</v>
      </c>
      <c r="F844">
        <v>155</v>
      </c>
      <c r="G844" s="4">
        <f t="shared" si="26"/>
        <v>26.930280957336105</v>
      </c>
      <c r="H844" t="s">
        <v>46</v>
      </c>
      <c r="I844" t="s">
        <v>108</v>
      </c>
      <c r="J844">
        <v>114</v>
      </c>
      <c r="K844">
        <v>65</v>
      </c>
      <c r="L844">
        <v>108</v>
      </c>
      <c r="M844">
        <v>6</v>
      </c>
      <c r="N844" s="5">
        <v>10111.700000000001</v>
      </c>
      <c r="O844" t="s">
        <v>43</v>
      </c>
      <c r="P844" t="str">
        <f t="shared" si="27"/>
        <v>Hospital Central da Beira</v>
      </c>
      <c r="Q844" t="s">
        <v>24</v>
      </c>
      <c r="R844">
        <v>3</v>
      </c>
    </row>
    <row r="845" spans="1:18" x14ac:dyDescent="0.45">
      <c r="A845" t="s">
        <v>930</v>
      </c>
      <c r="B845" s="3">
        <v>45582</v>
      </c>
      <c r="C845">
        <v>6</v>
      </c>
      <c r="D845" t="s">
        <v>27</v>
      </c>
      <c r="E845">
        <v>44.7</v>
      </c>
      <c r="F845">
        <v>93.7</v>
      </c>
      <c r="G845" s="4">
        <f t="shared" si="26"/>
        <v>50.91295934138904</v>
      </c>
      <c r="H845" t="s">
        <v>28</v>
      </c>
      <c r="I845" t="s">
        <v>29</v>
      </c>
      <c r="J845">
        <v>85</v>
      </c>
      <c r="K845">
        <v>55</v>
      </c>
      <c r="L845">
        <v>66</v>
      </c>
      <c r="M845">
        <v>9</v>
      </c>
      <c r="N845" s="5">
        <v>24035.53</v>
      </c>
      <c r="O845" t="s">
        <v>51</v>
      </c>
      <c r="P845" t="str">
        <f t="shared" si="27"/>
        <v>Hospital Central de Quelimane</v>
      </c>
      <c r="Q845" t="s">
        <v>24</v>
      </c>
      <c r="R845">
        <v>3</v>
      </c>
    </row>
    <row r="846" spans="1:18" x14ac:dyDescent="0.45">
      <c r="A846" t="s">
        <v>931</v>
      </c>
      <c r="B846" s="3">
        <v>45580</v>
      </c>
      <c r="C846">
        <v>39</v>
      </c>
      <c r="D846" t="s">
        <v>20</v>
      </c>
      <c r="E846">
        <v>69.599999999999994</v>
      </c>
      <c r="F846">
        <v>164.5</v>
      </c>
      <c r="G846" s="4">
        <f t="shared" si="26"/>
        <v>25.720383218928131</v>
      </c>
      <c r="H846" t="s">
        <v>34</v>
      </c>
      <c r="I846" t="s">
        <v>126</v>
      </c>
      <c r="J846">
        <v>120</v>
      </c>
      <c r="K846">
        <v>74</v>
      </c>
      <c r="L846">
        <v>83</v>
      </c>
      <c r="M846">
        <v>1</v>
      </c>
      <c r="N846" s="5">
        <v>4995.2700000000004</v>
      </c>
      <c r="O846" t="s">
        <v>30</v>
      </c>
      <c r="P846" t="str">
        <f t="shared" si="27"/>
        <v>Hospital Provincial de Inhambane</v>
      </c>
      <c r="Q846" t="s">
        <v>24</v>
      </c>
      <c r="R846">
        <v>4</v>
      </c>
    </row>
    <row r="847" spans="1:18" x14ac:dyDescent="0.45">
      <c r="A847" t="s">
        <v>932</v>
      </c>
      <c r="B847" s="3">
        <v>45234</v>
      </c>
      <c r="C847">
        <v>42</v>
      </c>
      <c r="D847" t="s">
        <v>27</v>
      </c>
      <c r="E847">
        <v>53.4</v>
      </c>
      <c r="F847">
        <v>172.2</v>
      </c>
      <c r="G847" s="4">
        <f t="shared" si="26"/>
        <v>18.008393125245338</v>
      </c>
      <c r="H847" t="s">
        <v>91</v>
      </c>
      <c r="I847" t="s">
        <v>131</v>
      </c>
      <c r="J847">
        <v>104</v>
      </c>
      <c r="K847">
        <v>57</v>
      </c>
      <c r="L847">
        <v>65</v>
      </c>
      <c r="M847">
        <v>2</v>
      </c>
      <c r="N847" s="5">
        <v>4809.8100000000004</v>
      </c>
      <c r="O847" t="s">
        <v>43</v>
      </c>
      <c r="P847" t="str">
        <f t="shared" si="27"/>
        <v>Hospital Central da Beira</v>
      </c>
      <c r="Q847" t="s">
        <v>37</v>
      </c>
      <c r="R847">
        <v>5</v>
      </c>
    </row>
    <row r="848" spans="1:18" x14ac:dyDescent="0.45">
      <c r="A848" t="s">
        <v>933</v>
      </c>
      <c r="B848" s="3">
        <v>45027</v>
      </c>
      <c r="C848">
        <v>26</v>
      </c>
      <c r="D848" t="s">
        <v>27</v>
      </c>
      <c r="E848">
        <v>75.7</v>
      </c>
      <c r="F848">
        <v>157.30000000000001</v>
      </c>
      <c r="G848" s="4">
        <f t="shared" si="26"/>
        <v>30.594153000672097</v>
      </c>
      <c r="H848" t="s">
        <v>46</v>
      </c>
      <c r="I848" t="s">
        <v>66</v>
      </c>
      <c r="J848">
        <v>110</v>
      </c>
      <c r="K848">
        <v>78</v>
      </c>
      <c r="L848">
        <v>81</v>
      </c>
      <c r="M848">
        <v>1</v>
      </c>
      <c r="N848" s="5">
        <v>2365.31</v>
      </c>
      <c r="O848" t="s">
        <v>38</v>
      </c>
      <c r="P848" t="str">
        <f t="shared" si="27"/>
        <v>Hospital Provincial de Xai-Xai</v>
      </c>
      <c r="Q848" t="s">
        <v>37</v>
      </c>
      <c r="R848">
        <v>4</v>
      </c>
    </row>
    <row r="849" spans="1:18" x14ac:dyDescent="0.45">
      <c r="A849" t="s">
        <v>934</v>
      </c>
      <c r="B849" s="3">
        <v>45023</v>
      </c>
      <c r="C849">
        <v>25</v>
      </c>
      <c r="D849" t="s">
        <v>27</v>
      </c>
      <c r="E849">
        <v>74.099999999999994</v>
      </c>
      <c r="F849">
        <v>173.4</v>
      </c>
      <c r="G849" s="4">
        <f t="shared" si="26"/>
        <v>24.644500584683293</v>
      </c>
      <c r="H849" t="s">
        <v>91</v>
      </c>
      <c r="I849" t="s">
        <v>131</v>
      </c>
      <c r="J849">
        <v>112</v>
      </c>
      <c r="K849">
        <v>71</v>
      </c>
      <c r="L849">
        <v>65</v>
      </c>
      <c r="M849">
        <v>1</v>
      </c>
      <c r="N849" s="5">
        <v>2476.31</v>
      </c>
      <c r="O849" t="s">
        <v>23</v>
      </c>
      <c r="P849" t="str">
        <f t="shared" si="27"/>
        <v>Hospital Central de Maputo</v>
      </c>
      <c r="Q849" t="s">
        <v>37</v>
      </c>
      <c r="R849">
        <v>5</v>
      </c>
    </row>
    <row r="850" spans="1:18" x14ac:dyDescent="0.45">
      <c r="A850" t="s">
        <v>935</v>
      </c>
      <c r="B850" s="3">
        <v>45445</v>
      </c>
      <c r="C850">
        <v>43</v>
      </c>
      <c r="D850" t="s">
        <v>27</v>
      </c>
      <c r="E850">
        <v>68.7</v>
      </c>
      <c r="F850">
        <v>169.6</v>
      </c>
      <c r="G850" s="4">
        <f t="shared" si="26"/>
        <v>23.883888839444644</v>
      </c>
      <c r="H850" t="s">
        <v>21</v>
      </c>
      <c r="I850" t="s">
        <v>89</v>
      </c>
      <c r="J850">
        <v>128</v>
      </c>
      <c r="K850">
        <v>78</v>
      </c>
      <c r="L850">
        <v>76</v>
      </c>
      <c r="M850">
        <v>1</v>
      </c>
      <c r="N850" s="5">
        <v>3227.64</v>
      </c>
      <c r="O850" t="s">
        <v>43</v>
      </c>
      <c r="P850" t="str">
        <f t="shared" si="27"/>
        <v>Hospital Central da Beira</v>
      </c>
      <c r="Q850" t="s">
        <v>37</v>
      </c>
      <c r="R850">
        <v>2</v>
      </c>
    </row>
    <row r="851" spans="1:18" x14ac:dyDescent="0.45">
      <c r="A851" t="s">
        <v>936</v>
      </c>
      <c r="B851" s="3">
        <v>45542</v>
      </c>
      <c r="C851">
        <v>20</v>
      </c>
      <c r="D851" t="s">
        <v>27</v>
      </c>
      <c r="E851">
        <v>68.400000000000006</v>
      </c>
      <c r="F851">
        <v>141.19999999999999</v>
      </c>
      <c r="G851" s="4">
        <f t="shared" si="26"/>
        <v>34.307313275927108</v>
      </c>
      <c r="H851" t="s">
        <v>41</v>
      </c>
      <c r="I851" t="s">
        <v>217</v>
      </c>
      <c r="J851">
        <v>121</v>
      </c>
      <c r="K851">
        <v>85</v>
      </c>
      <c r="L851">
        <v>89</v>
      </c>
      <c r="M851">
        <v>6</v>
      </c>
      <c r="N851" s="5">
        <v>20889.29</v>
      </c>
      <c r="O851" t="s">
        <v>23</v>
      </c>
      <c r="P851" t="str">
        <f t="shared" si="27"/>
        <v>Hospital Central de Maputo</v>
      </c>
      <c r="Q851" t="s">
        <v>24</v>
      </c>
      <c r="R851">
        <v>4</v>
      </c>
    </row>
    <row r="852" spans="1:18" x14ac:dyDescent="0.45">
      <c r="A852" t="s">
        <v>937</v>
      </c>
      <c r="B852" s="3">
        <v>45626</v>
      </c>
      <c r="C852">
        <v>14</v>
      </c>
      <c r="D852" t="s">
        <v>27</v>
      </c>
      <c r="E852">
        <v>67.900000000000006</v>
      </c>
      <c r="F852">
        <v>167</v>
      </c>
      <c r="G852" s="4">
        <f t="shared" si="26"/>
        <v>24.346516547742841</v>
      </c>
      <c r="H852" t="s">
        <v>28</v>
      </c>
      <c r="I852" t="s">
        <v>29</v>
      </c>
      <c r="J852">
        <v>103</v>
      </c>
      <c r="K852">
        <v>55</v>
      </c>
      <c r="L852">
        <v>69</v>
      </c>
      <c r="M852">
        <v>1</v>
      </c>
      <c r="N852" s="5">
        <v>3171.19</v>
      </c>
      <c r="O852" t="s">
        <v>52</v>
      </c>
      <c r="P852" t="str">
        <f t="shared" si="27"/>
        <v>Hospital Provincial de Chimoio</v>
      </c>
      <c r="Q852" t="s">
        <v>24</v>
      </c>
      <c r="R852">
        <v>4</v>
      </c>
    </row>
    <row r="853" spans="1:18" x14ac:dyDescent="0.45">
      <c r="A853" t="s">
        <v>938</v>
      </c>
      <c r="B853" s="3">
        <v>45035</v>
      </c>
      <c r="C853">
        <v>30</v>
      </c>
      <c r="D853" t="s">
        <v>27</v>
      </c>
      <c r="E853">
        <v>71.3</v>
      </c>
      <c r="F853">
        <v>150.1</v>
      </c>
      <c r="G853" s="4">
        <f t="shared" si="26"/>
        <v>31.646679251362961</v>
      </c>
      <c r="H853" t="s">
        <v>41</v>
      </c>
      <c r="I853" t="s">
        <v>42</v>
      </c>
      <c r="J853">
        <v>116</v>
      </c>
      <c r="K853">
        <v>72</v>
      </c>
      <c r="L853">
        <v>108</v>
      </c>
      <c r="M853">
        <v>2</v>
      </c>
      <c r="N853" s="5">
        <v>5486.74</v>
      </c>
      <c r="O853" t="s">
        <v>67</v>
      </c>
      <c r="P853" t="str">
        <f t="shared" si="27"/>
        <v>Hospital Provincial de Pemba</v>
      </c>
      <c r="Q853" t="s">
        <v>24</v>
      </c>
      <c r="R853">
        <v>1</v>
      </c>
    </row>
    <row r="854" spans="1:18" x14ac:dyDescent="0.45">
      <c r="A854" t="s">
        <v>939</v>
      </c>
      <c r="B854" s="3">
        <v>45015</v>
      </c>
      <c r="C854">
        <v>20</v>
      </c>
      <c r="D854" t="s">
        <v>20</v>
      </c>
      <c r="E854">
        <v>51.3</v>
      </c>
      <c r="F854">
        <v>156.9</v>
      </c>
      <c r="G854" s="4">
        <f t="shared" si="26"/>
        <v>20.838741047567169</v>
      </c>
      <c r="H854" t="s">
        <v>46</v>
      </c>
      <c r="I854" t="s">
        <v>66</v>
      </c>
      <c r="J854">
        <v>95</v>
      </c>
      <c r="K854">
        <v>56</v>
      </c>
      <c r="L854">
        <v>113</v>
      </c>
      <c r="M854">
        <v>3</v>
      </c>
      <c r="N854" s="5">
        <v>4222.6099999999997</v>
      </c>
      <c r="O854" t="s">
        <v>31</v>
      </c>
      <c r="P854" t="str">
        <f t="shared" si="27"/>
        <v>Hospital Provincial da Matola</v>
      </c>
      <c r="Q854" t="s">
        <v>24</v>
      </c>
      <c r="R854">
        <v>5</v>
      </c>
    </row>
    <row r="855" spans="1:18" x14ac:dyDescent="0.45">
      <c r="A855" t="s">
        <v>940</v>
      </c>
      <c r="B855" s="3">
        <v>45327</v>
      </c>
      <c r="C855">
        <v>33</v>
      </c>
      <c r="D855" t="s">
        <v>20</v>
      </c>
      <c r="E855">
        <v>75.599999999999994</v>
      </c>
      <c r="F855">
        <v>173.1</v>
      </c>
      <c r="G855" s="4">
        <f t="shared" si="26"/>
        <v>25.230604723529645</v>
      </c>
      <c r="H855" t="s">
        <v>91</v>
      </c>
      <c r="I855" t="s">
        <v>92</v>
      </c>
      <c r="J855">
        <v>111</v>
      </c>
      <c r="K855">
        <v>68</v>
      </c>
      <c r="L855">
        <v>96</v>
      </c>
      <c r="M855">
        <v>10</v>
      </c>
      <c r="N855" s="5">
        <v>31877.27</v>
      </c>
      <c r="O855" t="s">
        <v>31</v>
      </c>
      <c r="P855" t="str">
        <f t="shared" si="27"/>
        <v>Hospital Provincial da Matola</v>
      </c>
      <c r="Q855" t="s">
        <v>24</v>
      </c>
      <c r="R855">
        <v>4</v>
      </c>
    </row>
    <row r="856" spans="1:18" x14ac:dyDescent="0.45">
      <c r="A856" t="s">
        <v>941</v>
      </c>
      <c r="B856" s="3">
        <v>45028</v>
      </c>
      <c r="C856">
        <v>31</v>
      </c>
      <c r="D856" t="s">
        <v>20</v>
      </c>
      <c r="E856">
        <v>69</v>
      </c>
      <c r="F856">
        <v>165.8</v>
      </c>
      <c r="G856" s="4">
        <f t="shared" si="26"/>
        <v>25.10036508299126</v>
      </c>
      <c r="H856" t="s">
        <v>91</v>
      </c>
      <c r="I856" t="s">
        <v>92</v>
      </c>
      <c r="J856">
        <v>88</v>
      </c>
      <c r="K856">
        <v>55</v>
      </c>
      <c r="L856">
        <v>108</v>
      </c>
      <c r="M856">
        <v>17</v>
      </c>
      <c r="N856" s="5">
        <v>38802.660000000003</v>
      </c>
      <c r="O856" t="s">
        <v>51</v>
      </c>
      <c r="P856" t="str">
        <f t="shared" si="27"/>
        <v>Hospital Central de Quelimane</v>
      </c>
      <c r="Q856" t="s">
        <v>37</v>
      </c>
      <c r="R856">
        <v>4</v>
      </c>
    </row>
    <row r="857" spans="1:18" x14ac:dyDescent="0.45">
      <c r="A857" t="s">
        <v>942</v>
      </c>
      <c r="B857" s="3">
        <v>45157</v>
      </c>
      <c r="C857">
        <v>46</v>
      </c>
      <c r="D857" t="s">
        <v>27</v>
      </c>
      <c r="E857">
        <v>66.8</v>
      </c>
      <c r="F857">
        <v>170.6</v>
      </c>
      <c r="G857" s="4">
        <f t="shared" si="26"/>
        <v>22.951887620961259</v>
      </c>
      <c r="H857" t="s">
        <v>91</v>
      </c>
      <c r="I857" t="s">
        <v>131</v>
      </c>
      <c r="J857">
        <v>112</v>
      </c>
      <c r="K857">
        <v>71</v>
      </c>
      <c r="L857">
        <v>88</v>
      </c>
      <c r="M857">
        <v>2</v>
      </c>
      <c r="N857" s="5">
        <v>6943.95</v>
      </c>
      <c r="O857" t="s">
        <v>63</v>
      </c>
      <c r="P857" t="str">
        <f t="shared" si="27"/>
        <v>Hospital Central de Nampula</v>
      </c>
      <c r="Q857" t="s">
        <v>24</v>
      </c>
      <c r="R857">
        <v>5</v>
      </c>
    </row>
    <row r="858" spans="1:18" x14ac:dyDescent="0.45">
      <c r="A858" t="s">
        <v>943</v>
      </c>
      <c r="B858" s="3">
        <v>45448</v>
      </c>
      <c r="C858">
        <v>21</v>
      </c>
      <c r="D858" t="s">
        <v>27</v>
      </c>
      <c r="E858">
        <v>78.5</v>
      </c>
      <c r="F858">
        <v>163.6</v>
      </c>
      <c r="G858" s="4">
        <f t="shared" si="26"/>
        <v>29.32939186159815</v>
      </c>
      <c r="H858" t="s">
        <v>46</v>
      </c>
      <c r="I858" t="s">
        <v>94</v>
      </c>
      <c r="J858">
        <v>103</v>
      </c>
      <c r="K858">
        <v>63</v>
      </c>
      <c r="L858">
        <v>72</v>
      </c>
      <c r="M858">
        <v>3</v>
      </c>
      <c r="N858" s="5">
        <v>10569.72</v>
      </c>
      <c r="O858" t="s">
        <v>63</v>
      </c>
      <c r="P858" t="str">
        <f t="shared" si="27"/>
        <v>Hospital Central de Nampula</v>
      </c>
      <c r="Q858" t="s">
        <v>24</v>
      </c>
      <c r="R858">
        <v>3</v>
      </c>
    </row>
    <row r="859" spans="1:18" x14ac:dyDescent="0.45">
      <c r="A859" t="s">
        <v>944</v>
      </c>
      <c r="B859" s="3">
        <v>45214</v>
      </c>
      <c r="C859">
        <v>27</v>
      </c>
      <c r="D859" t="s">
        <v>27</v>
      </c>
      <c r="E859">
        <v>78</v>
      </c>
      <c r="F859">
        <v>159.30000000000001</v>
      </c>
      <c r="G859" s="4">
        <f t="shared" si="26"/>
        <v>30.737111397202682</v>
      </c>
      <c r="H859" t="s">
        <v>46</v>
      </c>
      <c r="I859" t="s">
        <v>108</v>
      </c>
      <c r="J859">
        <v>106</v>
      </c>
      <c r="K859">
        <v>70</v>
      </c>
      <c r="L859">
        <v>109</v>
      </c>
      <c r="M859">
        <v>1</v>
      </c>
      <c r="N859" s="5">
        <v>5637.87</v>
      </c>
      <c r="O859" t="s">
        <v>51</v>
      </c>
      <c r="P859" t="str">
        <f t="shared" si="27"/>
        <v>Hospital Central de Quelimane</v>
      </c>
      <c r="Q859" t="s">
        <v>202</v>
      </c>
      <c r="R859">
        <v>4</v>
      </c>
    </row>
    <row r="860" spans="1:18" x14ac:dyDescent="0.45">
      <c r="A860" t="s">
        <v>945</v>
      </c>
      <c r="B860" s="3">
        <v>45603</v>
      </c>
      <c r="C860">
        <v>31</v>
      </c>
      <c r="D860" t="s">
        <v>20</v>
      </c>
      <c r="E860">
        <v>33.6</v>
      </c>
      <c r="F860">
        <v>154.19999999999999</v>
      </c>
      <c r="G860" s="4">
        <f t="shared" si="26"/>
        <v>14.130923001609919</v>
      </c>
      <c r="H860" t="s">
        <v>41</v>
      </c>
      <c r="I860" t="s">
        <v>217</v>
      </c>
      <c r="J860">
        <v>96</v>
      </c>
      <c r="K860">
        <v>57</v>
      </c>
      <c r="L860">
        <v>112</v>
      </c>
      <c r="M860">
        <v>10</v>
      </c>
      <c r="N860" s="5">
        <v>31562.03</v>
      </c>
      <c r="O860" t="s">
        <v>31</v>
      </c>
      <c r="P860" t="str">
        <f t="shared" si="27"/>
        <v>Hospital Provincial da Matola</v>
      </c>
      <c r="Q860" t="s">
        <v>202</v>
      </c>
      <c r="R860">
        <v>4</v>
      </c>
    </row>
    <row r="861" spans="1:18" x14ac:dyDescent="0.45">
      <c r="A861" t="s">
        <v>946</v>
      </c>
      <c r="B861" s="3">
        <v>45172</v>
      </c>
      <c r="C861">
        <v>47</v>
      </c>
      <c r="D861" t="s">
        <v>20</v>
      </c>
      <c r="E861">
        <v>74.099999999999994</v>
      </c>
      <c r="F861">
        <v>165.9</v>
      </c>
      <c r="G861" s="4">
        <f t="shared" si="26"/>
        <v>26.923123038672284</v>
      </c>
      <c r="H861" t="s">
        <v>91</v>
      </c>
      <c r="I861" t="s">
        <v>116</v>
      </c>
      <c r="J861">
        <v>114</v>
      </c>
      <c r="K861">
        <v>66</v>
      </c>
      <c r="L861">
        <v>68</v>
      </c>
      <c r="M861">
        <v>1</v>
      </c>
      <c r="N861" s="5">
        <v>5349.39</v>
      </c>
      <c r="O861" t="s">
        <v>63</v>
      </c>
      <c r="P861" t="str">
        <f t="shared" si="27"/>
        <v>Hospital Central de Nampula</v>
      </c>
      <c r="Q861" t="s">
        <v>24</v>
      </c>
      <c r="R861">
        <v>3</v>
      </c>
    </row>
    <row r="862" spans="1:18" x14ac:dyDescent="0.45">
      <c r="A862" t="s">
        <v>947</v>
      </c>
      <c r="B862" s="3">
        <v>45629</v>
      </c>
      <c r="C862">
        <v>23</v>
      </c>
      <c r="D862" t="s">
        <v>27</v>
      </c>
      <c r="E862">
        <v>76.8</v>
      </c>
      <c r="F862">
        <v>165.8</v>
      </c>
      <c r="G862" s="4">
        <f t="shared" si="26"/>
        <v>27.937797657590274</v>
      </c>
      <c r="H862" t="s">
        <v>46</v>
      </c>
      <c r="I862" t="s">
        <v>108</v>
      </c>
      <c r="J862">
        <v>103</v>
      </c>
      <c r="K862">
        <v>63</v>
      </c>
      <c r="L862">
        <v>85</v>
      </c>
      <c r="M862">
        <v>1</v>
      </c>
      <c r="N862" s="5">
        <v>4839.38</v>
      </c>
      <c r="O862" t="s">
        <v>30</v>
      </c>
      <c r="P862" t="str">
        <f t="shared" si="27"/>
        <v>Hospital Provincial de Inhambane</v>
      </c>
      <c r="Q862" t="s">
        <v>37</v>
      </c>
      <c r="R862">
        <v>5</v>
      </c>
    </row>
    <row r="863" spans="1:18" x14ac:dyDescent="0.45">
      <c r="A863" t="s">
        <v>948</v>
      </c>
      <c r="B863" s="3">
        <v>45310</v>
      </c>
      <c r="C863">
        <v>24</v>
      </c>
      <c r="D863" t="s">
        <v>20</v>
      </c>
      <c r="E863">
        <v>58.5</v>
      </c>
      <c r="F863">
        <v>172.1</v>
      </c>
      <c r="G863" s="4">
        <f t="shared" si="26"/>
        <v>19.75122904977006</v>
      </c>
      <c r="H863" t="s">
        <v>91</v>
      </c>
      <c r="I863" t="s">
        <v>116</v>
      </c>
      <c r="J863">
        <v>104</v>
      </c>
      <c r="K863">
        <v>68</v>
      </c>
      <c r="L863">
        <v>96</v>
      </c>
      <c r="M863">
        <v>1</v>
      </c>
      <c r="N863" s="5">
        <v>3985.12</v>
      </c>
      <c r="O863" t="s">
        <v>23</v>
      </c>
      <c r="P863" t="str">
        <f t="shared" si="27"/>
        <v>Hospital Central de Maputo</v>
      </c>
      <c r="Q863" t="s">
        <v>37</v>
      </c>
      <c r="R863">
        <v>3</v>
      </c>
    </row>
    <row r="864" spans="1:18" x14ac:dyDescent="0.45">
      <c r="A864" t="s">
        <v>949</v>
      </c>
      <c r="B864" s="3">
        <v>45433</v>
      </c>
      <c r="C864">
        <v>41</v>
      </c>
      <c r="D864" t="s">
        <v>27</v>
      </c>
      <c r="E864">
        <v>63.1</v>
      </c>
      <c r="F864">
        <v>153.6</v>
      </c>
      <c r="G864" s="4">
        <f t="shared" si="26"/>
        <v>26.745266384548611</v>
      </c>
      <c r="H864" t="s">
        <v>34</v>
      </c>
      <c r="I864" t="s">
        <v>126</v>
      </c>
      <c r="J864">
        <v>113</v>
      </c>
      <c r="K864">
        <v>86</v>
      </c>
      <c r="L864">
        <v>75</v>
      </c>
      <c r="M864">
        <v>1</v>
      </c>
      <c r="N864" s="5">
        <v>3476.24</v>
      </c>
      <c r="O864" t="s">
        <v>23</v>
      </c>
      <c r="P864" t="str">
        <f t="shared" si="27"/>
        <v>Hospital Central de Maputo</v>
      </c>
      <c r="Q864" t="s">
        <v>24</v>
      </c>
      <c r="R864">
        <v>5</v>
      </c>
    </row>
    <row r="865" spans="1:18" x14ac:dyDescent="0.45">
      <c r="A865" t="s">
        <v>950</v>
      </c>
      <c r="B865" s="3">
        <v>44982</v>
      </c>
      <c r="C865">
        <v>20</v>
      </c>
      <c r="D865" t="s">
        <v>27</v>
      </c>
      <c r="E865">
        <v>73.3</v>
      </c>
      <c r="F865">
        <v>171.7</v>
      </c>
      <c r="G865" s="4">
        <f t="shared" si="26"/>
        <v>24.863564159698033</v>
      </c>
      <c r="H865" t="s">
        <v>99</v>
      </c>
      <c r="I865" t="s">
        <v>151</v>
      </c>
      <c r="J865">
        <v>111</v>
      </c>
      <c r="K865">
        <v>70</v>
      </c>
      <c r="L865">
        <v>87</v>
      </c>
      <c r="M865">
        <v>1</v>
      </c>
      <c r="N865" s="5">
        <v>3204.31</v>
      </c>
      <c r="O865" t="s">
        <v>23</v>
      </c>
      <c r="P865" t="str">
        <f t="shared" si="27"/>
        <v>Hospital Central de Maputo</v>
      </c>
      <c r="Q865" t="s">
        <v>76</v>
      </c>
      <c r="R865">
        <v>5</v>
      </c>
    </row>
    <row r="866" spans="1:18" x14ac:dyDescent="0.45">
      <c r="A866" t="s">
        <v>951</v>
      </c>
      <c r="B866" s="3">
        <v>45218</v>
      </c>
      <c r="C866">
        <v>7</v>
      </c>
      <c r="D866" t="s">
        <v>27</v>
      </c>
      <c r="E866">
        <v>32.4</v>
      </c>
      <c r="F866">
        <v>79.8</v>
      </c>
      <c r="G866" s="4">
        <f t="shared" si="26"/>
        <v>50.879077392729947</v>
      </c>
      <c r="H866" t="s">
        <v>28</v>
      </c>
      <c r="I866" t="s">
        <v>50</v>
      </c>
      <c r="J866">
        <v>97</v>
      </c>
      <c r="K866">
        <v>60</v>
      </c>
      <c r="L866">
        <v>90</v>
      </c>
      <c r="M866">
        <v>3</v>
      </c>
      <c r="N866" s="5">
        <v>9092.93</v>
      </c>
      <c r="O866" t="s">
        <v>36</v>
      </c>
      <c r="P866" t="str">
        <f t="shared" si="27"/>
        <v>Hospital Provincial de Lichinga</v>
      </c>
      <c r="Q866" t="s">
        <v>24</v>
      </c>
      <c r="R866">
        <v>4</v>
      </c>
    </row>
    <row r="867" spans="1:18" x14ac:dyDescent="0.45">
      <c r="A867" t="s">
        <v>952</v>
      </c>
      <c r="B867" s="3">
        <v>44944</v>
      </c>
      <c r="C867">
        <v>35</v>
      </c>
      <c r="D867" t="s">
        <v>20</v>
      </c>
      <c r="E867">
        <v>66.3</v>
      </c>
      <c r="F867">
        <v>140</v>
      </c>
      <c r="G867" s="4">
        <f t="shared" si="26"/>
        <v>33.826530612244902</v>
      </c>
      <c r="H867" t="s">
        <v>21</v>
      </c>
      <c r="I867" t="s">
        <v>123</v>
      </c>
      <c r="J867">
        <v>108</v>
      </c>
      <c r="K867">
        <v>67</v>
      </c>
      <c r="L867">
        <v>107</v>
      </c>
      <c r="M867">
        <v>1</v>
      </c>
      <c r="N867" s="5">
        <v>5666.94</v>
      </c>
      <c r="O867" t="s">
        <v>67</v>
      </c>
      <c r="P867" t="str">
        <f t="shared" si="27"/>
        <v>Hospital Provincial de Pemba</v>
      </c>
      <c r="Q867" t="s">
        <v>24</v>
      </c>
      <c r="R867">
        <v>1</v>
      </c>
    </row>
    <row r="868" spans="1:18" x14ac:dyDescent="0.45">
      <c r="A868" t="s">
        <v>953</v>
      </c>
      <c r="B868" s="3">
        <v>45614</v>
      </c>
      <c r="C868">
        <v>59</v>
      </c>
      <c r="D868" t="s">
        <v>27</v>
      </c>
      <c r="E868">
        <v>65.3</v>
      </c>
      <c r="F868">
        <v>149.6</v>
      </c>
      <c r="G868" s="4">
        <f t="shared" si="26"/>
        <v>29.177628756898965</v>
      </c>
      <c r="H868" t="s">
        <v>41</v>
      </c>
      <c r="I868" t="s">
        <v>161</v>
      </c>
      <c r="J868">
        <v>128</v>
      </c>
      <c r="K868">
        <v>87</v>
      </c>
      <c r="L868">
        <v>105</v>
      </c>
      <c r="M868">
        <v>2</v>
      </c>
      <c r="N868" s="5">
        <v>6992.03</v>
      </c>
      <c r="O868" t="s">
        <v>57</v>
      </c>
      <c r="P868" t="str">
        <f t="shared" si="27"/>
        <v>Hospital Provincial de Tete</v>
      </c>
      <c r="Q868" t="s">
        <v>24</v>
      </c>
      <c r="R868">
        <v>4</v>
      </c>
    </row>
    <row r="869" spans="1:18" x14ac:dyDescent="0.45">
      <c r="A869" t="s">
        <v>954</v>
      </c>
      <c r="B869" s="3">
        <v>45205</v>
      </c>
      <c r="C869">
        <v>12</v>
      </c>
      <c r="D869" t="s">
        <v>27</v>
      </c>
      <c r="E869">
        <v>57.8</v>
      </c>
      <c r="F869">
        <v>163.80000000000001</v>
      </c>
      <c r="G869" s="4">
        <f t="shared" si="26"/>
        <v>21.542695535369525</v>
      </c>
      <c r="H869" t="s">
        <v>99</v>
      </c>
      <c r="I869" t="s">
        <v>151</v>
      </c>
      <c r="J869">
        <v>117</v>
      </c>
      <c r="K869">
        <v>63</v>
      </c>
      <c r="L869">
        <v>65</v>
      </c>
      <c r="M869">
        <v>3</v>
      </c>
      <c r="N869" s="5">
        <v>8054.15</v>
      </c>
      <c r="O869" t="s">
        <v>57</v>
      </c>
      <c r="P869" t="str">
        <f t="shared" si="27"/>
        <v>Hospital Provincial de Tete</v>
      </c>
      <c r="Q869" t="s">
        <v>24</v>
      </c>
      <c r="R869">
        <v>4</v>
      </c>
    </row>
    <row r="870" spans="1:18" x14ac:dyDescent="0.45">
      <c r="A870" t="s">
        <v>955</v>
      </c>
      <c r="B870" s="3">
        <v>45340</v>
      </c>
      <c r="C870">
        <v>11</v>
      </c>
      <c r="D870" t="s">
        <v>20</v>
      </c>
      <c r="E870">
        <v>39.700000000000003</v>
      </c>
      <c r="F870">
        <v>99.3</v>
      </c>
      <c r="G870" s="4">
        <f t="shared" si="26"/>
        <v>40.261690849034892</v>
      </c>
      <c r="H870" t="s">
        <v>28</v>
      </c>
      <c r="I870" t="s">
        <v>73</v>
      </c>
      <c r="J870">
        <v>113</v>
      </c>
      <c r="K870">
        <v>66</v>
      </c>
      <c r="L870">
        <v>120</v>
      </c>
      <c r="M870">
        <v>4</v>
      </c>
      <c r="N870" s="5">
        <v>11383.42</v>
      </c>
      <c r="O870" t="s">
        <v>23</v>
      </c>
      <c r="P870" t="str">
        <f t="shared" si="27"/>
        <v>Hospital Central de Maputo</v>
      </c>
      <c r="Q870" t="s">
        <v>24</v>
      </c>
      <c r="R870">
        <v>1</v>
      </c>
    </row>
    <row r="871" spans="1:18" x14ac:dyDescent="0.45">
      <c r="A871" t="s">
        <v>956</v>
      </c>
      <c r="B871" s="3">
        <v>45512</v>
      </c>
      <c r="C871">
        <v>18</v>
      </c>
      <c r="D871" t="s">
        <v>27</v>
      </c>
      <c r="E871">
        <v>65.099999999999994</v>
      </c>
      <c r="F871">
        <v>148.6</v>
      </c>
      <c r="G871" s="4">
        <f t="shared" si="26"/>
        <v>29.481078672364227</v>
      </c>
      <c r="H871" t="s">
        <v>91</v>
      </c>
      <c r="I871" t="s">
        <v>92</v>
      </c>
      <c r="J871">
        <v>111</v>
      </c>
      <c r="K871">
        <v>67</v>
      </c>
      <c r="L871">
        <v>87</v>
      </c>
      <c r="M871">
        <v>1</v>
      </c>
      <c r="N871" s="5">
        <v>5276.77</v>
      </c>
      <c r="O871" t="s">
        <v>31</v>
      </c>
      <c r="P871" t="str">
        <f t="shared" si="27"/>
        <v>Hospital Provincial da Matola</v>
      </c>
      <c r="Q871" t="s">
        <v>37</v>
      </c>
      <c r="R871">
        <v>4</v>
      </c>
    </row>
    <row r="872" spans="1:18" x14ac:dyDescent="0.45">
      <c r="A872" t="s">
        <v>957</v>
      </c>
      <c r="B872" s="3">
        <v>45540</v>
      </c>
      <c r="C872">
        <v>32</v>
      </c>
      <c r="D872" t="s">
        <v>27</v>
      </c>
      <c r="E872">
        <v>79.3</v>
      </c>
      <c r="F872">
        <v>153</v>
      </c>
      <c r="G872" s="4">
        <f t="shared" si="26"/>
        <v>33.875859712076554</v>
      </c>
      <c r="H872" t="s">
        <v>99</v>
      </c>
      <c r="I872" t="s">
        <v>100</v>
      </c>
      <c r="J872">
        <v>135</v>
      </c>
      <c r="K872">
        <v>90</v>
      </c>
      <c r="L872">
        <v>112</v>
      </c>
      <c r="M872">
        <v>1</v>
      </c>
      <c r="N872" s="5">
        <v>4571.5200000000004</v>
      </c>
      <c r="O872" t="s">
        <v>43</v>
      </c>
      <c r="P872" t="str">
        <f t="shared" si="27"/>
        <v>Hospital Central da Beira</v>
      </c>
      <c r="Q872" t="s">
        <v>24</v>
      </c>
      <c r="R872">
        <v>5</v>
      </c>
    </row>
    <row r="873" spans="1:18" x14ac:dyDescent="0.45">
      <c r="A873" t="s">
        <v>958</v>
      </c>
      <c r="B873" s="3">
        <v>45212</v>
      </c>
      <c r="C873">
        <v>9</v>
      </c>
      <c r="D873" t="s">
        <v>20</v>
      </c>
      <c r="E873">
        <v>16.8</v>
      </c>
      <c r="F873">
        <v>125.3</v>
      </c>
      <c r="G873" s="4">
        <f t="shared" si="26"/>
        <v>10.700575601795915</v>
      </c>
      <c r="H873" t="s">
        <v>28</v>
      </c>
      <c r="I873" t="s">
        <v>75</v>
      </c>
      <c r="J873">
        <v>102</v>
      </c>
      <c r="K873">
        <v>64</v>
      </c>
      <c r="L873">
        <v>90</v>
      </c>
      <c r="M873">
        <v>4</v>
      </c>
      <c r="N873" s="5">
        <v>14372.12</v>
      </c>
      <c r="O873" t="s">
        <v>67</v>
      </c>
      <c r="P873" t="str">
        <f t="shared" si="27"/>
        <v>Hospital Provincial de Pemba</v>
      </c>
      <c r="Q873" t="s">
        <v>24</v>
      </c>
      <c r="R873">
        <v>4</v>
      </c>
    </row>
    <row r="874" spans="1:18" x14ac:dyDescent="0.45">
      <c r="A874" t="s">
        <v>959</v>
      </c>
      <c r="B874" s="3">
        <v>45360</v>
      </c>
      <c r="C874">
        <v>6</v>
      </c>
      <c r="D874" t="s">
        <v>20</v>
      </c>
      <c r="E874">
        <v>25.9</v>
      </c>
      <c r="F874">
        <v>115.1</v>
      </c>
      <c r="G874" s="4">
        <f t="shared" si="26"/>
        <v>19.550106015922388</v>
      </c>
      <c r="H874" t="s">
        <v>28</v>
      </c>
      <c r="I874" t="s">
        <v>29</v>
      </c>
      <c r="J874">
        <v>105</v>
      </c>
      <c r="K874">
        <v>61</v>
      </c>
      <c r="L874">
        <v>100</v>
      </c>
      <c r="M874">
        <v>5</v>
      </c>
      <c r="N874" s="5">
        <v>13890.33</v>
      </c>
      <c r="O874" t="s">
        <v>67</v>
      </c>
      <c r="P874" t="str">
        <f t="shared" si="27"/>
        <v>Hospital Provincial de Pemba</v>
      </c>
      <c r="Q874" t="s">
        <v>24</v>
      </c>
      <c r="R874">
        <v>1</v>
      </c>
    </row>
    <row r="875" spans="1:18" x14ac:dyDescent="0.45">
      <c r="A875" t="s">
        <v>960</v>
      </c>
      <c r="B875" s="3">
        <v>45102</v>
      </c>
      <c r="C875">
        <v>51</v>
      </c>
      <c r="D875" t="s">
        <v>27</v>
      </c>
      <c r="E875">
        <v>63.9</v>
      </c>
      <c r="F875">
        <v>143.9</v>
      </c>
      <c r="G875" s="4">
        <f t="shared" si="26"/>
        <v>30.858816808251806</v>
      </c>
      <c r="H875" t="s">
        <v>41</v>
      </c>
      <c r="I875" t="s">
        <v>217</v>
      </c>
      <c r="J875">
        <v>114</v>
      </c>
      <c r="K875">
        <v>72</v>
      </c>
      <c r="L875">
        <v>65</v>
      </c>
      <c r="M875">
        <v>1</v>
      </c>
      <c r="N875" s="5">
        <v>4038.92</v>
      </c>
      <c r="O875" t="s">
        <v>63</v>
      </c>
      <c r="P875" t="str">
        <f t="shared" si="27"/>
        <v>Hospital Central de Nampula</v>
      </c>
      <c r="Q875" t="s">
        <v>24</v>
      </c>
      <c r="R875">
        <v>4</v>
      </c>
    </row>
    <row r="876" spans="1:18" x14ac:dyDescent="0.45">
      <c r="A876" t="s">
        <v>961</v>
      </c>
      <c r="B876" s="3">
        <v>45654</v>
      </c>
      <c r="C876">
        <v>44</v>
      </c>
      <c r="D876" t="s">
        <v>20</v>
      </c>
      <c r="E876">
        <v>48.5</v>
      </c>
      <c r="F876">
        <v>153.4</v>
      </c>
      <c r="G876" s="4">
        <f t="shared" si="26"/>
        <v>20.610618250553721</v>
      </c>
      <c r="H876" t="s">
        <v>46</v>
      </c>
      <c r="I876" t="s">
        <v>94</v>
      </c>
      <c r="J876">
        <v>128</v>
      </c>
      <c r="K876">
        <v>81</v>
      </c>
      <c r="L876">
        <v>110</v>
      </c>
      <c r="M876">
        <v>6</v>
      </c>
      <c r="N876" s="5">
        <v>16574.400000000001</v>
      </c>
      <c r="O876" t="s">
        <v>52</v>
      </c>
      <c r="P876" t="str">
        <f t="shared" si="27"/>
        <v>Hospital Provincial de Chimoio</v>
      </c>
      <c r="Q876" t="s">
        <v>24</v>
      </c>
      <c r="R876">
        <v>4</v>
      </c>
    </row>
    <row r="877" spans="1:18" x14ac:dyDescent="0.45">
      <c r="A877" t="s">
        <v>962</v>
      </c>
      <c r="B877" s="3">
        <v>45589</v>
      </c>
      <c r="C877">
        <v>38</v>
      </c>
      <c r="D877" t="s">
        <v>27</v>
      </c>
      <c r="E877">
        <v>49.4</v>
      </c>
      <c r="F877">
        <v>163.1</v>
      </c>
      <c r="G877" s="4">
        <f t="shared" si="26"/>
        <v>18.570304579309298</v>
      </c>
      <c r="H877" t="s">
        <v>46</v>
      </c>
      <c r="I877" t="s">
        <v>66</v>
      </c>
      <c r="J877">
        <v>103</v>
      </c>
      <c r="K877">
        <v>67</v>
      </c>
      <c r="L877">
        <v>65</v>
      </c>
      <c r="M877">
        <v>1</v>
      </c>
      <c r="N877" s="5">
        <v>4018.79</v>
      </c>
      <c r="O877" t="s">
        <v>38</v>
      </c>
      <c r="P877" t="str">
        <f t="shared" si="27"/>
        <v>Hospital Provincial de Xai-Xai</v>
      </c>
      <c r="Q877" t="s">
        <v>24</v>
      </c>
      <c r="R877">
        <v>4</v>
      </c>
    </row>
    <row r="878" spans="1:18" x14ac:dyDescent="0.45">
      <c r="A878" t="s">
        <v>963</v>
      </c>
      <c r="B878" s="3">
        <v>45311</v>
      </c>
      <c r="C878">
        <v>38</v>
      </c>
      <c r="D878" t="s">
        <v>27</v>
      </c>
      <c r="E878">
        <v>65.599999999999994</v>
      </c>
      <c r="F878">
        <v>148.1</v>
      </c>
      <c r="G878" s="4">
        <f t="shared" si="26"/>
        <v>29.908437325182682</v>
      </c>
      <c r="H878" t="s">
        <v>91</v>
      </c>
      <c r="I878" t="s">
        <v>116</v>
      </c>
      <c r="J878">
        <v>119</v>
      </c>
      <c r="K878">
        <v>83</v>
      </c>
      <c r="L878">
        <v>89</v>
      </c>
      <c r="M878">
        <v>3</v>
      </c>
      <c r="N878" s="5">
        <v>8968.94</v>
      </c>
      <c r="O878" t="s">
        <v>63</v>
      </c>
      <c r="P878" t="str">
        <f t="shared" si="27"/>
        <v>Hospital Central de Nampula</v>
      </c>
      <c r="Q878" t="s">
        <v>24</v>
      </c>
      <c r="R878">
        <v>3</v>
      </c>
    </row>
    <row r="879" spans="1:18" x14ac:dyDescent="0.45">
      <c r="A879" t="s">
        <v>964</v>
      </c>
      <c r="B879" s="3">
        <v>45159</v>
      </c>
      <c r="C879">
        <v>12</v>
      </c>
      <c r="D879" t="s">
        <v>27</v>
      </c>
      <c r="E879">
        <v>61.3</v>
      </c>
      <c r="F879">
        <v>153.19999999999999</v>
      </c>
      <c r="G879" s="4">
        <f t="shared" si="26"/>
        <v>26.118182004103925</v>
      </c>
      <c r="H879" t="s">
        <v>28</v>
      </c>
      <c r="I879" t="s">
        <v>73</v>
      </c>
      <c r="J879">
        <v>93</v>
      </c>
      <c r="K879">
        <v>58</v>
      </c>
      <c r="L879">
        <v>96</v>
      </c>
      <c r="M879">
        <v>12</v>
      </c>
      <c r="N879" s="5">
        <v>18623.27</v>
      </c>
      <c r="O879" t="s">
        <v>51</v>
      </c>
      <c r="P879" t="str">
        <f t="shared" si="27"/>
        <v>Hospital Central de Quelimane</v>
      </c>
      <c r="Q879" t="s">
        <v>24</v>
      </c>
      <c r="R879">
        <v>4</v>
      </c>
    </row>
    <row r="880" spans="1:18" x14ac:dyDescent="0.45">
      <c r="A880" t="s">
        <v>965</v>
      </c>
      <c r="B880" s="3">
        <v>45285</v>
      </c>
      <c r="C880">
        <v>39</v>
      </c>
      <c r="D880" t="s">
        <v>27</v>
      </c>
      <c r="E880">
        <v>54.8</v>
      </c>
      <c r="F880">
        <v>151.1</v>
      </c>
      <c r="G880" s="4">
        <f t="shared" si="26"/>
        <v>24.002232032380242</v>
      </c>
      <c r="H880" t="s">
        <v>99</v>
      </c>
      <c r="I880" t="s">
        <v>105</v>
      </c>
      <c r="J880">
        <v>109</v>
      </c>
      <c r="K880">
        <v>60</v>
      </c>
      <c r="L880">
        <v>88</v>
      </c>
      <c r="M880">
        <v>10</v>
      </c>
      <c r="N880" s="5">
        <v>31064.79</v>
      </c>
      <c r="O880" t="s">
        <v>30</v>
      </c>
      <c r="P880" t="str">
        <f t="shared" si="27"/>
        <v>Hospital Provincial de Inhambane</v>
      </c>
      <c r="Q880" t="s">
        <v>24</v>
      </c>
      <c r="R880">
        <v>5</v>
      </c>
    </row>
    <row r="881" spans="1:18" x14ac:dyDescent="0.45">
      <c r="A881" t="s">
        <v>966</v>
      </c>
      <c r="B881" s="3">
        <v>45096</v>
      </c>
      <c r="C881">
        <v>54</v>
      </c>
      <c r="D881" t="s">
        <v>20</v>
      </c>
      <c r="E881">
        <v>77.3</v>
      </c>
      <c r="F881">
        <v>174.3</v>
      </c>
      <c r="G881" s="4">
        <f t="shared" si="26"/>
        <v>25.443960910439557</v>
      </c>
      <c r="H881" t="s">
        <v>34</v>
      </c>
      <c r="I881" t="s">
        <v>126</v>
      </c>
      <c r="J881">
        <v>126</v>
      </c>
      <c r="K881">
        <v>74</v>
      </c>
      <c r="L881">
        <v>78</v>
      </c>
      <c r="M881">
        <v>2</v>
      </c>
      <c r="N881" s="5">
        <v>5836.66</v>
      </c>
      <c r="O881" t="s">
        <v>30</v>
      </c>
      <c r="P881" t="str">
        <f t="shared" si="27"/>
        <v>Hospital Provincial de Inhambane</v>
      </c>
      <c r="Q881" t="s">
        <v>24</v>
      </c>
      <c r="R881">
        <v>4</v>
      </c>
    </row>
    <row r="882" spans="1:18" x14ac:dyDescent="0.45">
      <c r="A882" t="s">
        <v>967</v>
      </c>
      <c r="B882" s="3">
        <v>45456</v>
      </c>
      <c r="C882">
        <v>27</v>
      </c>
      <c r="D882" t="s">
        <v>27</v>
      </c>
      <c r="E882">
        <v>56.4</v>
      </c>
      <c r="F882">
        <v>153.4</v>
      </c>
      <c r="G882" s="4">
        <f t="shared" si="26"/>
        <v>23.967811738788246</v>
      </c>
      <c r="H882" t="s">
        <v>99</v>
      </c>
      <c r="I882" t="s">
        <v>105</v>
      </c>
      <c r="J882">
        <v>97</v>
      </c>
      <c r="K882">
        <v>60</v>
      </c>
      <c r="L882">
        <v>67</v>
      </c>
      <c r="M882">
        <v>26</v>
      </c>
      <c r="N882" s="5">
        <v>35725.74</v>
      </c>
      <c r="O882" t="s">
        <v>30</v>
      </c>
      <c r="P882" t="str">
        <f t="shared" si="27"/>
        <v>Hospital Provincial de Inhambane</v>
      </c>
      <c r="Q882" t="s">
        <v>24</v>
      </c>
      <c r="R882">
        <v>5</v>
      </c>
    </row>
    <row r="883" spans="1:18" x14ac:dyDescent="0.45">
      <c r="A883" t="s">
        <v>968</v>
      </c>
      <c r="B883" s="3">
        <v>45577</v>
      </c>
      <c r="C883">
        <v>6</v>
      </c>
      <c r="D883" t="s">
        <v>27</v>
      </c>
      <c r="E883">
        <v>18.600000000000001</v>
      </c>
      <c r="F883">
        <v>90.7</v>
      </c>
      <c r="G883" s="4">
        <f t="shared" si="26"/>
        <v>22.609885868699774</v>
      </c>
      <c r="H883" t="s">
        <v>28</v>
      </c>
      <c r="I883" t="s">
        <v>29</v>
      </c>
      <c r="J883">
        <v>103</v>
      </c>
      <c r="K883">
        <v>65</v>
      </c>
      <c r="L883">
        <v>96</v>
      </c>
      <c r="M883">
        <v>2</v>
      </c>
      <c r="N883" s="5">
        <v>5769.22</v>
      </c>
      <c r="O883" t="s">
        <v>63</v>
      </c>
      <c r="P883" t="str">
        <f t="shared" si="27"/>
        <v>Hospital Central de Nampula</v>
      </c>
      <c r="Q883" t="s">
        <v>24</v>
      </c>
      <c r="R883">
        <v>4</v>
      </c>
    </row>
    <row r="884" spans="1:18" x14ac:dyDescent="0.45">
      <c r="A884" t="s">
        <v>969</v>
      </c>
      <c r="B884" s="3">
        <v>45142</v>
      </c>
      <c r="C884">
        <v>38</v>
      </c>
      <c r="D884" t="s">
        <v>20</v>
      </c>
      <c r="E884">
        <v>56.7</v>
      </c>
      <c r="F884">
        <v>167.5</v>
      </c>
      <c r="G884" s="4">
        <f t="shared" si="26"/>
        <v>20.209400757406996</v>
      </c>
      <c r="H884" t="s">
        <v>34</v>
      </c>
      <c r="I884" t="s">
        <v>138</v>
      </c>
      <c r="J884">
        <v>110</v>
      </c>
      <c r="K884">
        <v>68</v>
      </c>
      <c r="L884">
        <v>65</v>
      </c>
      <c r="M884">
        <v>10</v>
      </c>
      <c r="N884" s="5">
        <v>21198</v>
      </c>
      <c r="O884" t="s">
        <v>43</v>
      </c>
      <c r="P884" t="str">
        <f t="shared" si="27"/>
        <v>Hospital Central da Beira</v>
      </c>
      <c r="Q884" t="s">
        <v>37</v>
      </c>
      <c r="R884">
        <v>4</v>
      </c>
    </row>
    <row r="885" spans="1:18" x14ac:dyDescent="0.45">
      <c r="A885" t="s">
        <v>970</v>
      </c>
      <c r="B885" s="3">
        <v>45308</v>
      </c>
      <c r="C885">
        <v>47</v>
      </c>
      <c r="D885" t="s">
        <v>27</v>
      </c>
      <c r="E885">
        <v>57</v>
      </c>
      <c r="F885">
        <v>153</v>
      </c>
      <c r="G885" s="4">
        <f t="shared" si="26"/>
        <v>24.349609124695629</v>
      </c>
      <c r="H885" t="s">
        <v>34</v>
      </c>
      <c r="I885" t="s">
        <v>126</v>
      </c>
      <c r="J885">
        <v>134</v>
      </c>
      <c r="K885">
        <v>77</v>
      </c>
      <c r="L885">
        <v>79</v>
      </c>
      <c r="M885">
        <v>1</v>
      </c>
      <c r="N885" s="5">
        <v>5289.85</v>
      </c>
      <c r="O885" t="s">
        <v>52</v>
      </c>
      <c r="P885" t="str">
        <f t="shared" si="27"/>
        <v>Hospital Provincial de Chimoio</v>
      </c>
      <c r="Q885" t="s">
        <v>24</v>
      </c>
      <c r="R885">
        <v>4</v>
      </c>
    </row>
    <row r="886" spans="1:18" x14ac:dyDescent="0.45">
      <c r="A886" t="s">
        <v>971</v>
      </c>
      <c r="B886" s="3">
        <v>45178</v>
      </c>
      <c r="C886">
        <v>21</v>
      </c>
      <c r="D886" t="s">
        <v>27</v>
      </c>
      <c r="E886">
        <v>65.099999999999994</v>
      </c>
      <c r="F886">
        <v>155</v>
      </c>
      <c r="G886" s="4">
        <f t="shared" si="26"/>
        <v>27.096774193548381</v>
      </c>
      <c r="H886" t="s">
        <v>99</v>
      </c>
      <c r="I886" t="s">
        <v>100</v>
      </c>
      <c r="J886">
        <v>94</v>
      </c>
      <c r="K886">
        <v>57</v>
      </c>
      <c r="L886">
        <v>85</v>
      </c>
      <c r="M886">
        <v>12</v>
      </c>
      <c r="N886" s="5">
        <v>22365.14</v>
      </c>
      <c r="O886" t="s">
        <v>23</v>
      </c>
      <c r="P886" t="str">
        <f t="shared" si="27"/>
        <v>Hospital Central de Maputo</v>
      </c>
      <c r="Q886" t="s">
        <v>24</v>
      </c>
      <c r="R886">
        <v>3</v>
      </c>
    </row>
    <row r="887" spans="1:18" x14ac:dyDescent="0.45">
      <c r="A887" t="s">
        <v>972</v>
      </c>
      <c r="B887" s="3">
        <v>45151</v>
      </c>
      <c r="C887">
        <v>20</v>
      </c>
      <c r="D887" t="s">
        <v>20</v>
      </c>
      <c r="E887">
        <v>55.7</v>
      </c>
      <c r="F887">
        <v>175.4</v>
      </c>
      <c r="G887" s="4">
        <f t="shared" si="26"/>
        <v>18.104895277645234</v>
      </c>
      <c r="H887" t="s">
        <v>41</v>
      </c>
      <c r="I887" t="s">
        <v>113</v>
      </c>
      <c r="J887">
        <v>120</v>
      </c>
      <c r="K887">
        <v>74</v>
      </c>
      <c r="L887">
        <v>69</v>
      </c>
      <c r="M887">
        <v>1</v>
      </c>
      <c r="N887" s="5">
        <v>3989.22</v>
      </c>
      <c r="O887" t="s">
        <v>67</v>
      </c>
      <c r="P887" t="str">
        <f t="shared" si="27"/>
        <v>Hospital Provincial de Pemba</v>
      </c>
      <c r="Q887" t="s">
        <v>24</v>
      </c>
      <c r="R887">
        <v>5</v>
      </c>
    </row>
    <row r="888" spans="1:18" x14ac:dyDescent="0.45">
      <c r="A888" t="s">
        <v>973</v>
      </c>
      <c r="B888" s="3">
        <v>44985</v>
      </c>
      <c r="C888">
        <v>50</v>
      </c>
      <c r="D888" t="s">
        <v>27</v>
      </c>
      <c r="E888">
        <v>75.2</v>
      </c>
      <c r="F888">
        <v>168.8</v>
      </c>
      <c r="G888" s="4">
        <f t="shared" si="26"/>
        <v>26.39203971159677</v>
      </c>
      <c r="H888" t="s">
        <v>91</v>
      </c>
      <c r="I888" t="s">
        <v>131</v>
      </c>
      <c r="J888">
        <v>147</v>
      </c>
      <c r="K888">
        <v>93</v>
      </c>
      <c r="L888">
        <v>100</v>
      </c>
      <c r="M888">
        <v>8</v>
      </c>
      <c r="N888" s="5">
        <v>19820.89</v>
      </c>
      <c r="O888" t="s">
        <v>57</v>
      </c>
      <c r="P888" t="str">
        <f t="shared" si="27"/>
        <v>Hospital Provincial de Tete</v>
      </c>
      <c r="Q888" t="s">
        <v>24</v>
      </c>
      <c r="R888">
        <v>5</v>
      </c>
    </row>
    <row r="889" spans="1:18" x14ac:dyDescent="0.45">
      <c r="A889" t="s">
        <v>974</v>
      </c>
      <c r="B889" s="3">
        <v>45220</v>
      </c>
      <c r="C889">
        <v>46</v>
      </c>
      <c r="D889" t="s">
        <v>20</v>
      </c>
      <c r="E889">
        <v>77.900000000000006</v>
      </c>
      <c r="F889">
        <v>156.69999999999999</v>
      </c>
      <c r="G889" s="4">
        <f t="shared" si="26"/>
        <v>31.724841772860724</v>
      </c>
      <c r="H889" t="s">
        <v>55</v>
      </c>
      <c r="I889" t="s">
        <v>197</v>
      </c>
      <c r="J889">
        <v>98</v>
      </c>
      <c r="K889">
        <v>55</v>
      </c>
      <c r="L889">
        <v>96</v>
      </c>
      <c r="M889">
        <v>5</v>
      </c>
      <c r="N889" s="5">
        <v>9654.01</v>
      </c>
      <c r="O889" t="s">
        <v>63</v>
      </c>
      <c r="P889" t="str">
        <f t="shared" si="27"/>
        <v>Hospital Central de Nampula</v>
      </c>
      <c r="Q889" t="s">
        <v>202</v>
      </c>
      <c r="R889">
        <v>5</v>
      </c>
    </row>
    <row r="890" spans="1:18" x14ac:dyDescent="0.45">
      <c r="A890" t="s">
        <v>975</v>
      </c>
      <c r="B890" s="3">
        <v>45641</v>
      </c>
      <c r="C890">
        <v>42</v>
      </c>
      <c r="D890" t="s">
        <v>20</v>
      </c>
      <c r="E890">
        <v>64.599999999999994</v>
      </c>
      <c r="F890">
        <v>160.69999999999999</v>
      </c>
      <c r="G890" s="4">
        <f t="shared" si="26"/>
        <v>25.015014817330368</v>
      </c>
      <c r="H890" t="s">
        <v>34</v>
      </c>
      <c r="I890" t="s">
        <v>128</v>
      </c>
      <c r="J890">
        <v>110</v>
      </c>
      <c r="K890">
        <v>79</v>
      </c>
      <c r="L890">
        <v>72</v>
      </c>
      <c r="M890">
        <v>4</v>
      </c>
      <c r="N890" s="5">
        <v>10599.05</v>
      </c>
      <c r="O890" t="s">
        <v>31</v>
      </c>
      <c r="P890" t="str">
        <f t="shared" si="27"/>
        <v>Hospital Provincial da Matola</v>
      </c>
      <c r="Q890" t="s">
        <v>24</v>
      </c>
      <c r="R890">
        <v>2</v>
      </c>
    </row>
    <row r="891" spans="1:18" x14ac:dyDescent="0.45">
      <c r="A891" t="s">
        <v>976</v>
      </c>
      <c r="B891" s="3">
        <v>45523</v>
      </c>
      <c r="C891">
        <v>18</v>
      </c>
      <c r="D891" t="s">
        <v>20</v>
      </c>
      <c r="E891">
        <v>56.9</v>
      </c>
      <c r="F891">
        <v>165.6</v>
      </c>
      <c r="G891" s="4">
        <f t="shared" si="26"/>
        <v>20.748733926112628</v>
      </c>
      <c r="H891" t="s">
        <v>34</v>
      </c>
      <c r="I891" t="s">
        <v>128</v>
      </c>
      <c r="J891">
        <v>112</v>
      </c>
      <c r="K891">
        <v>74</v>
      </c>
      <c r="L891">
        <v>96</v>
      </c>
      <c r="M891">
        <v>3</v>
      </c>
      <c r="N891" s="5">
        <v>9177.3700000000008</v>
      </c>
      <c r="O891" t="s">
        <v>63</v>
      </c>
      <c r="P891" t="str">
        <f t="shared" si="27"/>
        <v>Hospital Central de Nampula</v>
      </c>
      <c r="Q891" t="s">
        <v>24</v>
      </c>
      <c r="R891">
        <v>2</v>
      </c>
    </row>
    <row r="892" spans="1:18" x14ac:dyDescent="0.45">
      <c r="A892" t="s">
        <v>977</v>
      </c>
      <c r="B892" s="3">
        <v>45547</v>
      </c>
      <c r="C892">
        <v>16</v>
      </c>
      <c r="D892" t="s">
        <v>27</v>
      </c>
      <c r="E892">
        <v>55.5</v>
      </c>
      <c r="F892">
        <v>162.80000000000001</v>
      </c>
      <c r="G892" s="4">
        <f t="shared" si="26"/>
        <v>20.940361849452756</v>
      </c>
      <c r="H892" t="s">
        <v>28</v>
      </c>
      <c r="I892" t="s">
        <v>29</v>
      </c>
      <c r="J892">
        <v>106</v>
      </c>
      <c r="K892">
        <v>64</v>
      </c>
      <c r="L892">
        <v>105</v>
      </c>
      <c r="M892">
        <v>1</v>
      </c>
      <c r="N892" s="5">
        <v>3339.7</v>
      </c>
      <c r="O892" t="s">
        <v>43</v>
      </c>
      <c r="P892" t="str">
        <f t="shared" si="27"/>
        <v>Hospital Central da Beira</v>
      </c>
      <c r="Q892" t="s">
        <v>202</v>
      </c>
      <c r="R892">
        <v>4</v>
      </c>
    </row>
    <row r="893" spans="1:18" x14ac:dyDescent="0.45">
      <c r="A893" t="s">
        <v>978</v>
      </c>
      <c r="B893" s="3">
        <v>45596</v>
      </c>
      <c r="C893">
        <v>65</v>
      </c>
      <c r="D893" t="s">
        <v>27</v>
      </c>
      <c r="E893">
        <v>59.9</v>
      </c>
      <c r="F893">
        <v>156.19999999999999</v>
      </c>
      <c r="G893" s="4">
        <f t="shared" si="26"/>
        <v>24.550749965981435</v>
      </c>
      <c r="H893" t="s">
        <v>91</v>
      </c>
      <c r="I893" t="s">
        <v>116</v>
      </c>
      <c r="J893">
        <v>118</v>
      </c>
      <c r="K893">
        <v>64</v>
      </c>
      <c r="L893">
        <v>99</v>
      </c>
      <c r="M893">
        <v>1</v>
      </c>
      <c r="N893" s="5">
        <v>4348.0600000000004</v>
      </c>
      <c r="O893" t="s">
        <v>23</v>
      </c>
      <c r="P893" t="str">
        <f t="shared" si="27"/>
        <v>Hospital Central de Maputo</v>
      </c>
      <c r="Q893" t="s">
        <v>76</v>
      </c>
      <c r="R893">
        <v>3</v>
      </c>
    </row>
    <row r="894" spans="1:18" x14ac:dyDescent="0.45">
      <c r="A894" t="s">
        <v>979</v>
      </c>
      <c r="B894" s="3">
        <v>45002</v>
      </c>
      <c r="C894">
        <v>29</v>
      </c>
      <c r="D894" t="s">
        <v>27</v>
      </c>
      <c r="E894">
        <v>58.4</v>
      </c>
      <c r="F894">
        <v>152.1</v>
      </c>
      <c r="G894" s="4">
        <f t="shared" si="26"/>
        <v>25.243781881621363</v>
      </c>
      <c r="H894" t="s">
        <v>46</v>
      </c>
      <c r="I894" t="s">
        <v>66</v>
      </c>
      <c r="J894">
        <v>114</v>
      </c>
      <c r="K894">
        <v>61</v>
      </c>
      <c r="L894">
        <v>65</v>
      </c>
      <c r="M894">
        <v>3</v>
      </c>
      <c r="N894" s="5">
        <v>10260.98</v>
      </c>
      <c r="O894" t="s">
        <v>31</v>
      </c>
      <c r="P894" t="str">
        <f t="shared" si="27"/>
        <v>Hospital Provincial da Matola</v>
      </c>
      <c r="Q894" t="s">
        <v>24</v>
      </c>
      <c r="R894">
        <v>2</v>
      </c>
    </row>
    <row r="895" spans="1:18" x14ac:dyDescent="0.45">
      <c r="A895" t="s">
        <v>980</v>
      </c>
      <c r="B895" s="3">
        <v>45087</v>
      </c>
      <c r="C895">
        <v>2</v>
      </c>
      <c r="D895" t="s">
        <v>27</v>
      </c>
      <c r="E895">
        <v>27.8</v>
      </c>
      <c r="F895">
        <v>151.1</v>
      </c>
      <c r="G895" s="4">
        <f t="shared" si="26"/>
        <v>12.176314790149101</v>
      </c>
      <c r="H895" t="s">
        <v>28</v>
      </c>
      <c r="I895" t="s">
        <v>29</v>
      </c>
      <c r="J895">
        <v>100</v>
      </c>
      <c r="K895">
        <v>65</v>
      </c>
      <c r="L895">
        <v>65</v>
      </c>
      <c r="M895">
        <v>2</v>
      </c>
      <c r="N895" s="5">
        <v>6665.15</v>
      </c>
      <c r="O895" t="s">
        <v>23</v>
      </c>
      <c r="P895" t="str">
        <f t="shared" si="27"/>
        <v>Hospital Central de Maputo</v>
      </c>
      <c r="Q895" t="s">
        <v>24</v>
      </c>
      <c r="R895">
        <v>5</v>
      </c>
    </row>
    <row r="896" spans="1:18" x14ac:dyDescent="0.45">
      <c r="A896" t="s">
        <v>981</v>
      </c>
      <c r="B896" s="3">
        <v>45359</v>
      </c>
      <c r="C896">
        <v>38</v>
      </c>
      <c r="D896" t="s">
        <v>27</v>
      </c>
      <c r="E896">
        <v>65</v>
      </c>
      <c r="F896">
        <v>178.7</v>
      </c>
      <c r="G896" s="4">
        <f t="shared" si="26"/>
        <v>20.354678710791021</v>
      </c>
      <c r="H896" t="s">
        <v>34</v>
      </c>
      <c r="I896" t="s">
        <v>138</v>
      </c>
      <c r="J896">
        <v>127</v>
      </c>
      <c r="K896">
        <v>76</v>
      </c>
      <c r="L896">
        <v>65</v>
      </c>
      <c r="M896">
        <v>1</v>
      </c>
      <c r="N896" s="5">
        <v>4277.78</v>
      </c>
      <c r="O896" t="s">
        <v>57</v>
      </c>
      <c r="P896" t="str">
        <f t="shared" si="27"/>
        <v>Hospital Provincial de Tete</v>
      </c>
      <c r="Q896" t="s">
        <v>202</v>
      </c>
      <c r="R896">
        <v>5</v>
      </c>
    </row>
    <row r="897" spans="1:18" x14ac:dyDescent="0.45">
      <c r="A897" t="s">
        <v>982</v>
      </c>
      <c r="B897" s="3">
        <v>45111</v>
      </c>
      <c r="C897">
        <v>42</v>
      </c>
      <c r="D897" t="s">
        <v>27</v>
      </c>
      <c r="E897">
        <v>50.1</v>
      </c>
      <c r="F897">
        <v>153.4</v>
      </c>
      <c r="G897" s="4">
        <f t="shared" si="26"/>
        <v>21.290556172221475</v>
      </c>
      <c r="H897" t="s">
        <v>21</v>
      </c>
      <c r="I897" t="s">
        <v>22</v>
      </c>
      <c r="J897">
        <v>145</v>
      </c>
      <c r="K897">
        <v>84</v>
      </c>
      <c r="L897">
        <v>110</v>
      </c>
      <c r="M897">
        <v>6</v>
      </c>
      <c r="N897" s="5">
        <v>13569.15</v>
      </c>
      <c r="O897" t="s">
        <v>30</v>
      </c>
      <c r="P897" t="str">
        <f t="shared" si="27"/>
        <v>Hospital Provincial de Inhambane</v>
      </c>
      <c r="Q897" t="s">
        <v>24</v>
      </c>
      <c r="R897">
        <v>5</v>
      </c>
    </row>
    <row r="898" spans="1:18" x14ac:dyDescent="0.45">
      <c r="A898" t="s">
        <v>983</v>
      </c>
      <c r="B898" s="3">
        <v>45444</v>
      </c>
      <c r="C898">
        <v>38</v>
      </c>
      <c r="D898" t="s">
        <v>27</v>
      </c>
      <c r="E898">
        <v>75.7</v>
      </c>
      <c r="F898">
        <v>142.80000000000001</v>
      </c>
      <c r="G898" s="4">
        <f t="shared" ref="G898:G961" si="28">E898/((F898/100)^2)</f>
        <v>37.12269221414055</v>
      </c>
      <c r="H898" t="s">
        <v>55</v>
      </c>
      <c r="I898" t="s">
        <v>197</v>
      </c>
      <c r="J898">
        <v>119</v>
      </c>
      <c r="K898">
        <v>67</v>
      </c>
      <c r="L898">
        <v>85</v>
      </c>
      <c r="M898">
        <v>3</v>
      </c>
      <c r="N898" s="5">
        <v>10152.83</v>
      </c>
      <c r="O898" t="s">
        <v>30</v>
      </c>
      <c r="P898" t="str">
        <f t="shared" ref="P898:P961" si="29">INDEX($U$2:$U$12,MATCH(O898,$T$2:$T$12,0))</f>
        <v>Hospital Provincial de Inhambane</v>
      </c>
      <c r="Q898" t="s">
        <v>24</v>
      </c>
      <c r="R898">
        <v>4</v>
      </c>
    </row>
    <row r="899" spans="1:18" x14ac:dyDescent="0.45">
      <c r="A899" t="s">
        <v>984</v>
      </c>
      <c r="B899" s="3">
        <v>44991</v>
      </c>
      <c r="C899">
        <v>17</v>
      </c>
      <c r="D899" t="s">
        <v>27</v>
      </c>
      <c r="E899">
        <v>52.5</v>
      </c>
      <c r="F899">
        <v>181</v>
      </c>
      <c r="G899" s="4">
        <f t="shared" si="28"/>
        <v>16.02515185739141</v>
      </c>
      <c r="H899" t="s">
        <v>99</v>
      </c>
      <c r="I899" t="s">
        <v>100</v>
      </c>
      <c r="J899">
        <v>100</v>
      </c>
      <c r="K899">
        <v>59</v>
      </c>
      <c r="L899">
        <v>78</v>
      </c>
      <c r="M899">
        <v>2</v>
      </c>
      <c r="N899" s="5">
        <v>5802.67</v>
      </c>
      <c r="O899" t="s">
        <v>23</v>
      </c>
      <c r="P899" t="str">
        <f t="shared" si="29"/>
        <v>Hospital Central de Maputo</v>
      </c>
      <c r="Q899" t="s">
        <v>24</v>
      </c>
      <c r="R899">
        <v>5</v>
      </c>
    </row>
    <row r="900" spans="1:18" x14ac:dyDescent="0.45">
      <c r="A900" t="s">
        <v>985</v>
      </c>
      <c r="B900" s="3">
        <v>45187</v>
      </c>
      <c r="C900">
        <v>16</v>
      </c>
      <c r="D900" t="s">
        <v>27</v>
      </c>
      <c r="E900">
        <v>92.6</v>
      </c>
      <c r="F900">
        <v>174</v>
      </c>
      <c r="G900" s="4">
        <f t="shared" si="28"/>
        <v>30.585282071607871</v>
      </c>
      <c r="H900" t="s">
        <v>28</v>
      </c>
      <c r="I900" t="s">
        <v>75</v>
      </c>
      <c r="J900">
        <v>113</v>
      </c>
      <c r="K900">
        <v>64</v>
      </c>
      <c r="L900">
        <v>93</v>
      </c>
      <c r="M900">
        <v>2</v>
      </c>
      <c r="N900" s="5">
        <v>9297.14</v>
      </c>
      <c r="O900" t="s">
        <v>38</v>
      </c>
      <c r="P900" t="str">
        <f t="shared" si="29"/>
        <v>Hospital Provincial de Xai-Xai</v>
      </c>
      <c r="Q900" t="s">
        <v>37</v>
      </c>
      <c r="R900">
        <v>4</v>
      </c>
    </row>
    <row r="901" spans="1:18" x14ac:dyDescent="0.45">
      <c r="A901" t="s">
        <v>986</v>
      </c>
      <c r="B901" s="3">
        <v>45353</v>
      </c>
      <c r="C901">
        <v>66</v>
      </c>
      <c r="D901" t="s">
        <v>20</v>
      </c>
      <c r="E901">
        <v>66.099999999999994</v>
      </c>
      <c r="F901">
        <v>158.30000000000001</v>
      </c>
      <c r="G901" s="4">
        <f t="shared" si="28"/>
        <v>26.377864302848202</v>
      </c>
      <c r="H901" t="s">
        <v>41</v>
      </c>
      <c r="I901" t="s">
        <v>42</v>
      </c>
      <c r="J901">
        <v>108</v>
      </c>
      <c r="K901">
        <v>59</v>
      </c>
      <c r="L901">
        <v>93</v>
      </c>
      <c r="M901">
        <v>3</v>
      </c>
      <c r="N901" s="5">
        <v>9528.27</v>
      </c>
      <c r="O901" t="s">
        <v>63</v>
      </c>
      <c r="P901" t="str">
        <f t="shared" si="29"/>
        <v>Hospital Central de Nampula</v>
      </c>
      <c r="Q901" t="s">
        <v>202</v>
      </c>
      <c r="R901">
        <v>4</v>
      </c>
    </row>
    <row r="902" spans="1:18" x14ac:dyDescent="0.45">
      <c r="A902" t="s">
        <v>987</v>
      </c>
      <c r="B902" s="3">
        <v>45263</v>
      </c>
      <c r="C902">
        <v>45</v>
      </c>
      <c r="D902" t="s">
        <v>20</v>
      </c>
      <c r="E902">
        <v>59.7</v>
      </c>
      <c r="F902">
        <v>176</v>
      </c>
      <c r="G902" s="4">
        <f t="shared" si="28"/>
        <v>19.272985537190085</v>
      </c>
      <c r="H902" t="s">
        <v>55</v>
      </c>
      <c r="I902" t="s">
        <v>80</v>
      </c>
      <c r="J902">
        <v>125</v>
      </c>
      <c r="K902">
        <v>74</v>
      </c>
      <c r="L902">
        <v>91</v>
      </c>
      <c r="M902">
        <v>10</v>
      </c>
      <c r="N902" s="5">
        <v>28437.35</v>
      </c>
      <c r="O902" t="s">
        <v>38</v>
      </c>
      <c r="P902" t="str">
        <f t="shared" si="29"/>
        <v>Hospital Provincial de Xai-Xai</v>
      </c>
      <c r="Q902" t="s">
        <v>24</v>
      </c>
      <c r="R902">
        <v>3</v>
      </c>
    </row>
    <row r="903" spans="1:18" x14ac:dyDescent="0.45">
      <c r="A903" t="s">
        <v>988</v>
      </c>
      <c r="B903" s="3">
        <v>45363</v>
      </c>
      <c r="C903">
        <v>19</v>
      </c>
      <c r="D903" t="s">
        <v>20</v>
      </c>
      <c r="E903">
        <v>58.5</v>
      </c>
      <c r="F903">
        <v>174.7</v>
      </c>
      <c r="G903" s="4">
        <f t="shared" si="28"/>
        <v>19.167702323289351</v>
      </c>
      <c r="H903" t="s">
        <v>46</v>
      </c>
      <c r="I903" t="s">
        <v>108</v>
      </c>
      <c r="J903">
        <v>121</v>
      </c>
      <c r="K903">
        <v>72</v>
      </c>
      <c r="L903">
        <v>85</v>
      </c>
      <c r="M903">
        <v>16</v>
      </c>
      <c r="N903" s="5">
        <v>49778.93</v>
      </c>
      <c r="O903" t="s">
        <v>23</v>
      </c>
      <c r="P903" t="str">
        <f t="shared" si="29"/>
        <v>Hospital Central de Maputo</v>
      </c>
      <c r="Q903" t="s">
        <v>24</v>
      </c>
      <c r="R903">
        <v>5</v>
      </c>
    </row>
    <row r="904" spans="1:18" x14ac:dyDescent="0.45">
      <c r="A904" t="s">
        <v>989</v>
      </c>
      <c r="B904" s="3">
        <v>45203</v>
      </c>
      <c r="C904">
        <v>29</v>
      </c>
      <c r="D904" t="s">
        <v>20</v>
      </c>
      <c r="E904">
        <v>50.3</v>
      </c>
      <c r="F904">
        <v>164.4</v>
      </c>
      <c r="G904" s="4">
        <f t="shared" si="28"/>
        <v>18.610770715304785</v>
      </c>
      <c r="H904" t="s">
        <v>21</v>
      </c>
      <c r="I904" t="s">
        <v>89</v>
      </c>
      <c r="J904">
        <v>135</v>
      </c>
      <c r="K904">
        <v>75</v>
      </c>
      <c r="L904">
        <v>68</v>
      </c>
      <c r="M904">
        <v>1</v>
      </c>
      <c r="N904" s="5">
        <v>2258.5</v>
      </c>
      <c r="O904" t="s">
        <v>63</v>
      </c>
      <c r="P904" t="str">
        <f t="shared" si="29"/>
        <v>Hospital Central de Nampula</v>
      </c>
      <c r="Q904" t="s">
        <v>24</v>
      </c>
      <c r="R904">
        <v>3</v>
      </c>
    </row>
    <row r="905" spans="1:18" x14ac:dyDescent="0.45">
      <c r="A905" t="s">
        <v>990</v>
      </c>
      <c r="B905" s="3">
        <v>44945</v>
      </c>
      <c r="C905">
        <v>46</v>
      </c>
      <c r="D905" t="s">
        <v>20</v>
      </c>
      <c r="E905">
        <v>37</v>
      </c>
      <c r="F905">
        <v>170</v>
      </c>
      <c r="G905" s="4">
        <f t="shared" si="28"/>
        <v>12.802768166089967</v>
      </c>
      <c r="H905" t="s">
        <v>34</v>
      </c>
      <c r="I905" t="s">
        <v>138</v>
      </c>
      <c r="J905">
        <v>122</v>
      </c>
      <c r="K905">
        <v>74</v>
      </c>
      <c r="L905">
        <v>87</v>
      </c>
      <c r="M905">
        <v>7</v>
      </c>
      <c r="N905" s="5">
        <v>21002.36</v>
      </c>
      <c r="O905" t="s">
        <v>63</v>
      </c>
      <c r="P905" t="str">
        <f t="shared" si="29"/>
        <v>Hospital Central de Nampula</v>
      </c>
      <c r="Q905" t="s">
        <v>24</v>
      </c>
      <c r="R905">
        <v>4</v>
      </c>
    </row>
    <row r="906" spans="1:18" x14ac:dyDescent="0.45">
      <c r="A906" t="s">
        <v>991</v>
      </c>
      <c r="B906" s="3">
        <v>45098</v>
      </c>
      <c r="C906">
        <v>18</v>
      </c>
      <c r="D906" t="s">
        <v>20</v>
      </c>
      <c r="E906">
        <v>83.6</v>
      </c>
      <c r="F906">
        <v>164.2</v>
      </c>
      <c r="G906" s="4">
        <f t="shared" si="28"/>
        <v>31.007015893691928</v>
      </c>
      <c r="H906" t="s">
        <v>46</v>
      </c>
      <c r="I906" t="s">
        <v>47</v>
      </c>
      <c r="J906">
        <v>104</v>
      </c>
      <c r="K906">
        <v>71</v>
      </c>
      <c r="L906">
        <v>65</v>
      </c>
      <c r="M906">
        <v>6</v>
      </c>
      <c r="N906" s="5">
        <v>15112.26</v>
      </c>
      <c r="O906" t="s">
        <v>30</v>
      </c>
      <c r="P906" t="str">
        <f t="shared" si="29"/>
        <v>Hospital Provincial de Inhambane</v>
      </c>
      <c r="Q906" t="s">
        <v>24</v>
      </c>
      <c r="R906">
        <v>5</v>
      </c>
    </row>
    <row r="907" spans="1:18" x14ac:dyDescent="0.45">
      <c r="A907" t="s">
        <v>992</v>
      </c>
      <c r="B907" s="3">
        <v>44964</v>
      </c>
      <c r="C907">
        <v>11</v>
      </c>
      <c r="D907" t="s">
        <v>27</v>
      </c>
      <c r="E907">
        <v>22.2</v>
      </c>
      <c r="F907">
        <v>160</v>
      </c>
      <c r="G907" s="4">
        <f t="shared" si="28"/>
        <v>8.6718749999999982</v>
      </c>
      <c r="H907" t="s">
        <v>28</v>
      </c>
      <c r="I907" t="s">
        <v>29</v>
      </c>
      <c r="J907">
        <v>97</v>
      </c>
      <c r="K907">
        <v>55</v>
      </c>
      <c r="L907">
        <v>111</v>
      </c>
      <c r="M907">
        <v>7</v>
      </c>
      <c r="N907" s="5">
        <v>10885.5</v>
      </c>
      <c r="O907" t="s">
        <v>57</v>
      </c>
      <c r="P907" t="str">
        <f t="shared" si="29"/>
        <v>Hospital Provincial de Tete</v>
      </c>
      <c r="Q907" t="s">
        <v>24</v>
      </c>
      <c r="R907">
        <v>3</v>
      </c>
    </row>
    <row r="908" spans="1:18" x14ac:dyDescent="0.45">
      <c r="A908" t="s">
        <v>993</v>
      </c>
      <c r="B908" s="3">
        <v>45066</v>
      </c>
      <c r="C908">
        <v>18</v>
      </c>
      <c r="D908" t="s">
        <v>27</v>
      </c>
      <c r="E908">
        <v>79</v>
      </c>
      <c r="F908">
        <v>175</v>
      </c>
      <c r="G908" s="4">
        <f t="shared" si="28"/>
        <v>25.795918367346939</v>
      </c>
      <c r="H908" t="s">
        <v>41</v>
      </c>
      <c r="I908" t="s">
        <v>42</v>
      </c>
      <c r="J908">
        <v>111</v>
      </c>
      <c r="K908">
        <v>60</v>
      </c>
      <c r="L908">
        <v>88</v>
      </c>
      <c r="M908">
        <v>2</v>
      </c>
      <c r="N908" s="5">
        <v>2909.5</v>
      </c>
      <c r="O908" t="s">
        <v>67</v>
      </c>
      <c r="P908" t="str">
        <f t="shared" si="29"/>
        <v>Hospital Provincial de Pemba</v>
      </c>
      <c r="Q908" t="s">
        <v>24</v>
      </c>
      <c r="R908">
        <v>5</v>
      </c>
    </row>
    <row r="909" spans="1:18" x14ac:dyDescent="0.45">
      <c r="A909" t="s">
        <v>994</v>
      </c>
      <c r="B909" s="3">
        <v>45639</v>
      </c>
      <c r="C909">
        <v>36</v>
      </c>
      <c r="D909" t="s">
        <v>27</v>
      </c>
      <c r="E909">
        <v>86.9</v>
      </c>
      <c r="F909">
        <v>159.6</v>
      </c>
      <c r="G909" s="4">
        <f t="shared" si="28"/>
        <v>34.115677665341302</v>
      </c>
      <c r="H909" t="s">
        <v>99</v>
      </c>
      <c r="I909" t="s">
        <v>103</v>
      </c>
      <c r="J909">
        <v>146</v>
      </c>
      <c r="K909">
        <v>88</v>
      </c>
      <c r="L909">
        <v>75</v>
      </c>
      <c r="M909">
        <v>5</v>
      </c>
      <c r="N909" s="5">
        <v>9860.07</v>
      </c>
      <c r="O909" t="s">
        <v>38</v>
      </c>
      <c r="P909" t="str">
        <f t="shared" si="29"/>
        <v>Hospital Provincial de Xai-Xai</v>
      </c>
      <c r="Q909" t="s">
        <v>24</v>
      </c>
      <c r="R909">
        <v>2</v>
      </c>
    </row>
    <row r="910" spans="1:18" x14ac:dyDescent="0.45">
      <c r="A910" t="s">
        <v>995</v>
      </c>
      <c r="B910" s="3">
        <v>45067</v>
      </c>
      <c r="C910">
        <v>53</v>
      </c>
      <c r="D910" t="s">
        <v>20</v>
      </c>
      <c r="E910">
        <v>60.7</v>
      </c>
      <c r="F910">
        <v>178.2</v>
      </c>
      <c r="G910" s="4">
        <f t="shared" si="28"/>
        <v>19.114955516003032</v>
      </c>
      <c r="H910" t="s">
        <v>91</v>
      </c>
      <c r="I910" t="s">
        <v>92</v>
      </c>
      <c r="J910">
        <v>118</v>
      </c>
      <c r="K910">
        <v>75</v>
      </c>
      <c r="L910">
        <v>70</v>
      </c>
      <c r="M910">
        <v>1</v>
      </c>
      <c r="N910" s="5">
        <v>2578.5</v>
      </c>
      <c r="O910" t="s">
        <v>51</v>
      </c>
      <c r="P910" t="str">
        <f t="shared" si="29"/>
        <v>Hospital Central de Quelimane</v>
      </c>
      <c r="Q910" t="s">
        <v>24</v>
      </c>
      <c r="R910">
        <v>5</v>
      </c>
    </row>
    <row r="911" spans="1:18" x14ac:dyDescent="0.45">
      <c r="A911" t="s">
        <v>996</v>
      </c>
      <c r="B911" s="3">
        <v>45008</v>
      </c>
      <c r="C911">
        <v>22</v>
      </c>
      <c r="D911" t="s">
        <v>27</v>
      </c>
      <c r="E911">
        <v>71.2</v>
      </c>
      <c r="F911">
        <v>170.4</v>
      </c>
      <c r="G911" s="4">
        <f t="shared" si="28"/>
        <v>24.521148802045452</v>
      </c>
      <c r="H911" t="s">
        <v>99</v>
      </c>
      <c r="I911" t="s">
        <v>151</v>
      </c>
      <c r="J911">
        <v>118</v>
      </c>
      <c r="K911">
        <v>70</v>
      </c>
      <c r="L911">
        <v>93</v>
      </c>
      <c r="M911">
        <v>1</v>
      </c>
      <c r="N911" s="5">
        <v>3628.88</v>
      </c>
      <c r="O911" t="s">
        <v>23</v>
      </c>
      <c r="P911" t="str">
        <f t="shared" si="29"/>
        <v>Hospital Central de Maputo</v>
      </c>
      <c r="Q911" t="s">
        <v>202</v>
      </c>
      <c r="R911">
        <v>1</v>
      </c>
    </row>
    <row r="912" spans="1:18" x14ac:dyDescent="0.45">
      <c r="A912" t="s">
        <v>997</v>
      </c>
      <c r="B912" s="3">
        <v>45415</v>
      </c>
      <c r="C912">
        <v>32</v>
      </c>
      <c r="D912" t="s">
        <v>20</v>
      </c>
      <c r="E912">
        <v>67.2</v>
      </c>
      <c r="F912">
        <v>159.4</v>
      </c>
      <c r="G912" s="4">
        <f t="shared" si="28"/>
        <v>26.447987985056887</v>
      </c>
      <c r="H912" t="s">
        <v>41</v>
      </c>
      <c r="I912" t="s">
        <v>42</v>
      </c>
      <c r="J912">
        <v>128</v>
      </c>
      <c r="K912">
        <v>91</v>
      </c>
      <c r="L912">
        <v>99</v>
      </c>
      <c r="M912">
        <v>1</v>
      </c>
      <c r="N912" s="5">
        <v>4772.1000000000004</v>
      </c>
      <c r="O912" t="s">
        <v>51</v>
      </c>
      <c r="P912" t="str">
        <f t="shared" si="29"/>
        <v>Hospital Central de Quelimane</v>
      </c>
      <c r="Q912" t="s">
        <v>24</v>
      </c>
      <c r="R912">
        <v>5</v>
      </c>
    </row>
    <row r="913" spans="1:18" x14ac:dyDescent="0.45">
      <c r="A913" t="s">
        <v>998</v>
      </c>
      <c r="B913" s="3">
        <v>45408</v>
      </c>
      <c r="C913">
        <v>30</v>
      </c>
      <c r="D913" t="s">
        <v>20</v>
      </c>
      <c r="E913">
        <v>90.4</v>
      </c>
      <c r="F913">
        <v>174</v>
      </c>
      <c r="G913" s="4">
        <f t="shared" si="28"/>
        <v>29.858633901440086</v>
      </c>
      <c r="H913" t="s">
        <v>46</v>
      </c>
      <c r="I913" t="s">
        <v>94</v>
      </c>
      <c r="J913">
        <v>121</v>
      </c>
      <c r="K913">
        <v>69</v>
      </c>
      <c r="L913">
        <v>90</v>
      </c>
      <c r="M913">
        <v>2</v>
      </c>
      <c r="N913" s="5">
        <v>6120.7</v>
      </c>
      <c r="O913" t="s">
        <v>63</v>
      </c>
      <c r="P913" t="str">
        <f t="shared" si="29"/>
        <v>Hospital Central de Nampula</v>
      </c>
      <c r="Q913" t="s">
        <v>24</v>
      </c>
      <c r="R913">
        <v>4</v>
      </c>
    </row>
    <row r="914" spans="1:18" x14ac:dyDescent="0.45">
      <c r="A914" t="s">
        <v>999</v>
      </c>
      <c r="B914" s="3">
        <v>44987</v>
      </c>
      <c r="C914">
        <v>12</v>
      </c>
      <c r="D914" t="s">
        <v>27</v>
      </c>
      <c r="E914">
        <v>68.5</v>
      </c>
      <c r="F914">
        <v>162.9</v>
      </c>
      <c r="G914" s="4">
        <f t="shared" si="28"/>
        <v>25.813589705615794</v>
      </c>
      <c r="H914" t="s">
        <v>28</v>
      </c>
      <c r="I914" t="s">
        <v>75</v>
      </c>
      <c r="J914">
        <v>95</v>
      </c>
      <c r="K914">
        <v>69</v>
      </c>
      <c r="L914">
        <v>123</v>
      </c>
      <c r="M914">
        <v>2</v>
      </c>
      <c r="N914" s="5">
        <v>5895.34</v>
      </c>
      <c r="O914" t="s">
        <v>57</v>
      </c>
      <c r="P914" t="str">
        <f t="shared" si="29"/>
        <v>Hospital Provincial de Tete</v>
      </c>
      <c r="Q914" t="s">
        <v>37</v>
      </c>
      <c r="R914">
        <v>5</v>
      </c>
    </row>
    <row r="915" spans="1:18" x14ac:dyDescent="0.45">
      <c r="A915" t="s">
        <v>1000</v>
      </c>
      <c r="B915" s="3">
        <v>45188</v>
      </c>
      <c r="C915">
        <v>55</v>
      </c>
      <c r="D915" t="s">
        <v>27</v>
      </c>
      <c r="E915">
        <v>58.3</v>
      </c>
      <c r="F915">
        <v>170.9</v>
      </c>
      <c r="G915" s="4">
        <f t="shared" si="28"/>
        <v>19.961098113761825</v>
      </c>
      <c r="H915" t="s">
        <v>21</v>
      </c>
      <c r="I915" t="s">
        <v>123</v>
      </c>
      <c r="J915">
        <v>107</v>
      </c>
      <c r="K915">
        <v>69</v>
      </c>
      <c r="L915">
        <v>69</v>
      </c>
      <c r="M915">
        <v>13</v>
      </c>
      <c r="N915" s="5">
        <v>21942.84</v>
      </c>
      <c r="O915" t="s">
        <v>31</v>
      </c>
      <c r="P915" t="str">
        <f t="shared" si="29"/>
        <v>Hospital Provincial da Matola</v>
      </c>
      <c r="Q915" t="s">
        <v>24</v>
      </c>
      <c r="R915">
        <v>2</v>
      </c>
    </row>
    <row r="916" spans="1:18" x14ac:dyDescent="0.45">
      <c r="A916" t="s">
        <v>1001</v>
      </c>
      <c r="B916" s="3">
        <v>45000</v>
      </c>
      <c r="C916">
        <v>6</v>
      </c>
      <c r="D916" t="s">
        <v>27</v>
      </c>
      <c r="E916">
        <v>20.7</v>
      </c>
      <c r="F916">
        <v>135.4</v>
      </c>
      <c r="G916" s="4">
        <f t="shared" si="28"/>
        <v>11.291015842331598</v>
      </c>
      <c r="H916" t="s">
        <v>28</v>
      </c>
      <c r="I916" t="s">
        <v>50</v>
      </c>
      <c r="J916">
        <v>91</v>
      </c>
      <c r="K916">
        <v>55</v>
      </c>
      <c r="L916">
        <v>88</v>
      </c>
      <c r="M916">
        <v>1</v>
      </c>
      <c r="N916" s="5">
        <v>2422.16</v>
      </c>
      <c r="O916" t="s">
        <v>51</v>
      </c>
      <c r="P916" t="str">
        <f t="shared" si="29"/>
        <v>Hospital Central de Quelimane</v>
      </c>
      <c r="Q916" t="s">
        <v>37</v>
      </c>
      <c r="R916">
        <v>5</v>
      </c>
    </row>
    <row r="917" spans="1:18" x14ac:dyDescent="0.45">
      <c r="A917" t="s">
        <v>1002</v>
      </c>
      <c r="B917" s="3">
        <v>45259</v>
      </c>
      <c r="C917">
        <v>35</v>
      </c>
      <c r="D917" t="s">
        <v>27</v>
      </c>
      <c r="E917">
        <v>66.8</v>
      </c>
      <c r="F917">
        <v>157.30000000000001</v>
      </c>
      <c r="G917" s="4">
        <f t="shared" si="28"/>
        <v>26.997218235731783</v>
      </c>
      <c r="H917" t="s">
        <v>91</v>
      </c>
      <c r="I917" t="s">
        <v>116</v>
      </c>
      <c r="J917">
        <v>108</v>
      </c>
      <c r="K917">
        <v>63</v>
      </c>
      <c r="L917">
        <v>67</v>
      </c>
      <c r="M917">
        <v>7</v>
      </c>
      <c r="N917" s="5">
        <v>19081.82</v>
      </c>
      <c r="O917" t="s">
        <v>67</v>
      </c>
      <c r="P917" t="str">
        <f t="shared" si="29"/>
        <v>Hospital Provincial de Pemba</v>
      </c>
      <c r="Q917" t="s">
        <v>24</v>
      </c>
      <c r="R917">
        <v>3</v>
      </c>
    </row>
    <row r="918" spans="1:18" x14ac:dyDescent="0.45">
      <c r="A918" t="s">
        <v>1003</v>
      </c>
      <c r="B918" s="3">
        <v>45370</v>
      </c>
      <c r="C918">
        <v>1</v>
      </c>
      <c r="D918" t="s">
        <v>27</v>
      </c>
      <c r="E918">
        <v>17.3</v>
      </c>
      <c r="F918">
        <v>143.6</v>
      </c>
      <c r="G918" s="4">
        <f t="shared" si="28"/>
        <v>8.3895221173020076</v>
      </c>
      <c r="H918" t="s">
        <v>28</v>
      </c>
      <c r="I918" t="s">
        <v>73</v>
      </c>
      <c r="J918">
        <v>99</v>
      </c>
      <c r="K918">
        <v>65</v>
      </c>
      <c r="L918">
        <v>95</v>
      </c>
      <c r="M918">
        <v>1</v>
      </c>
      <c r="N918" s="5">
        <v>4291.3</v>
      </c>
      <c r="O918" t="s">
        <v>43</v>
      </c>
      <c r="P918" t="str">
        <f t="shared" si="29"/>
        <v>Hospital Central da Beira</v>
      </c>
      <c r="Q918" t="s">
        <v>24</v>
      </c>
      <c r="R918">
        <v>2</v>
      </c>
    </row>
    <row r="919" spans="1:18" x14ac:dyDescent="0.45">
      <c r="A919" t="s">
        <v>1004</v>
      </c>
      <c r="B919" s="3">
        <v>45392</v>
      </c>
      <c r="C919">
        <v>39</v>
      </c>
      <c r="D919" t="s">
        <v>27</v>
      </c>
      <c r="E919">
        <v>80.5</v>
      </c>
      <c r="F919">
        <v>168.9</v>
      </c>
      <c r="G919" s="4">
        <f t="shared" si="28"/>
        <v>28.218672628693795</v>
      </c>
      <c r="H919" t="s">
        <v>91</v>
      </c>
      <c r="I919" t="s">
        <v>116</v>
      </c>
      <c r="J919">
        <v>89</v>
      </c>
      <c r="K919">
        <v>55</v>
      </c>
      <c r="L919">
        <v>110</v>
      </c>
      <c r="M919">
        <v>2</v>
      </c>
      <c r="N919" s="5">
        <v>5435.16</v>
      </c>
      <c r="O919" t="s">
        <v>51</v>
      </c>
      <c r="P919" t="str">
        <f t="shared" si="29"/>
        <v>Hospital Central de Quelimane</v>
      </c>
      <c r="Q919" t="s">
        <v>24</v>
      </c>
      <c r="R919">
        <v>5</v>
      </c>
    </row>
    <row r="920" spans="1:18" x14ac:dyDescent="0.45">
      <c r="A920" t="s">
        <v>1005</v>
      </c>
      <c r="B920" s="3">
        <v>45491</v>
      </c>
      <c r="C920">
        <v>34</v>
      </c>
      <c r="D920" t="s">
        <v>20</v>
      </c>
      <c r="E920">
        <v>61.6</v>
      </c>
      <c r="F920">
        <v>152.19999999999999</v>
      </c>
      <c r="G920" s="4">
        <f t="shared" si="28"/>
        <v>26.592024810013804</v>
      </c>
      <c r="H920" t="s">
        <v>21</v>
      </c>
      <c r="I920" t="s">
        <v>22</v>
      </c>
      <c r="J920">
        <v>156</v>
      </c>
      <c r="K920">
        <v>99</v>
      </c>
      <c r="L920">
        <v>65</v>
      </c>
      <c r="M920">
        <v>1</v>
      </c>
      <c r="N920" s="5">
        <v>5547.37</v>
      </c>
      <c r="O920" t="s">
        <v>38</v>
      </c>
      <c r="P920" t="str">
        <f t="shared" si="29"/>
        <v>Hospital Provincial de Xai-Xai</v>
      </c>
      <c r="Q920" t="s">
        <v>24</v>
      </c>
      <c r="R920">
        <v>5</v>
      </c>
    </row>
    <row r="921" spans="1:18" x14ac:dyDescent="0.45">
      <c r="A921" t="s">
        <v>1006</v>
      </c>
      <c r="B921" s="3">
        <v>45611</v>
      </c>
      <c r="C921">
        <v>39</v>
      </c>
      <c r="D921" t="s">
        <v>20</v>
      </c>
      <c r="E921">
        <v>55.4</v>
      </c>
      <c r="F921">
        <v>162.9</v>
      </c>
      <c r="G921" s="4">
        <f t="shared" si="28"/>
        <v>20.876976199870292</v>
      </c>
      <c r="H921" t="s">
        <v>46</v>
      </c>
      <c r="I921" t="s">
        <v>47</v>
      </c>
      <c r="J921">
        <v>131</v>
      </c>
      <c r="K921">
        <v>73</v>
      </c>
      <c r="L921">
        <v>82</v>
      </c>
      <c r="M921">
        <v>1</v>
      </c>
      <c r="N921" s="5">
        <v>2281.11</v>
      </c>
      <c r="O921" t="s">
        <v>38</v>
      </c>
      <c r="P921" t="str">
        <f t="shared" si="29"/>
        <v>Hospital Provincial de Xai-Xai</v>
      </c>
      <c r="Q921" t="s">
        <v>24</v>
      </c>
      <c r="R921">
        <v>3</v>
      </c>
    </row>
    <row r="922" spans="1:18" x14ac:dyDescent="0.45">
      <c r="A922" t="s">
        <v>1007</v>
      </c>
      <c r="B922" s="3">
        <v>45205</v>
      </c>
      <c r="C922">
        <v>18</v>
      </c>
      <c r="D922" t="s">
        <v>20</v>
      </c>
      <c r="E922">
        <v>75.2</v>
      </c>
      <c r="F922">
        <v>142.9</v>
      </c>
      <c r="G922" s="4">
        <f t="shared" si="28"/>
        <v>36.825901144981906</v>
      </c>
      <c r="H922" t="s">
        <v>46</v>
      </c>
      <c r="I922" t="s">
        <v>108</v>
      </c>
      <c r="J922">
        <v>114</v>
      </c>
      <c r="K922">
        <v>72</v>
      </c>
      <c r="L922">
        <v>100</v>
      </c>
      <c r="M922">
        <v>1</v>
      </c>
      <c r="N922" s="5">
        <v>3734.43</v>
      </c>
      <c r="O922" t="s">
        <v>38</v>
      </c>
      <c r="P922" t="str">
        <f t="shared" si="29"/>
        <v>Hospital Provincial de Xai-Xai</v>
      </c>
      <c r="Q922" t="s">
        <v>24</v>
      </c>
      <c r="R922">
        <v>3</v>
      </c>
    </row>
    <row r="923" spans="1:18" x14ac:dyDescent="0.45">
      <c r="A923" t="s">
        <v>1008</v>
      </c>
      <c r="B923" s="3">
        <v>45502</v>
      </c>
      <c r="C923">
        <v>66</v>
      </c>
      <c r="D923" t="s">
        <v>20</v>
      </c>
      <c r="E923">
        <v>61</v>
      </c>
      <c r="F923">
        <v>174.6</v>
      </c>
      <c r="G923" s="4">
        <f t="shared" si="28"/>
        <v>20.009735884607462</v>
      </c>
      <c r="H923" t="s">
        <v>46</v>
      </c>
      <c r="I923" t="s">
        <v>94</v>
      </c>
      <c r="J923">
        <v>128</v>
      </c>
      <c r="K923">
        <v>72</v>
      </c>
      <c r="L923">
        <v>97</v>
      </c>
      <c r="M923">
        <v>5</v>
      </c>
      <c r="N923" s="5">
        <v>9348.3799999999992</v>
      </c>
      <c r="O923" t="s">
        <v>52</v>
      </c>
      <c r="P923" t="str">
        <f t="shared" si="29"/>
        <v>Hospital Provincial de Chimoio</v>
      </c>
      <c r="Q923" t="s">
        <v>24</v>
      </c>
      <c r="R923">
        <v>3</v>
      </c>
    </row>
    <row r="924" spans="1:18" x14ac:dyDescent="0.45">
      <c r="A924" t="s">
        <v>1009</v>
      </c>
      <c r="B924" s="3">
        <v>45146</v>
      </c>
      <c r="C924">
        <v>40</v>
      </c>
      <c r="D924" t="s">
        <v>20</v>
      </c>
      <c r="E924">
        <v>71.099999999999994</v>
      </c>
      <c r="F924">
        <v>163.30000000000001</v>
      </c>
      <c r="G924" s="4">
        <f t="shared" si="28"/>
        <v>26.662276703432607</v>
      </c>
      <c r="H924" t="s">
        <v>91</v>
      </c>
      <c r="I924" t="s">
        <v>131</v>
      </c>
      <c r="J924">
        <v>122</v>
      </c>
      <c r="K924">
        <v>70</v>
      </c>
      <c r="L924">
        <v>79</v>
      </c>
      <c r="M924">
        <v>1</v>
      </c>
      <c r="N924" s="5">
        <v>3017.67</v>
      </c>
      <c r="O924" t="s">
        <v>23</v>
      </c>
      <c r="P924" t="str">
        <f t="shared" si="29"/>
        <v>Hospital Central de Maputo</v>
      </c>
      <c r="Q924" t="s">
        <v>37</v>
      </c>
      <c r="R924">
        <v>5</v>
      </c>
    </row>
    <row r="925" spans="1:18" x14ac:dyDescent="0.45">
      <c r="A925" t="s">
        <v>1010</v>
      </c>
      <c r="B925" s="3">
        <v>45476</v>
      </c>
      <c r="C925">
        <v>30</v>
      </c>
      <c r="D925" t="s">
        <v>20</v>
      </c>
      <c r="E925">
        <v>76.400000000000006</v>
      </c>
      <c r="F925">
        <v>152.6</v>
      </c>
      <c r="G925" s="4">
        <f t="shared" si="28"/>
        <v>32.80834259467612</v>
      </c>
      <c r="H925" t="s">
        <v>21</v>
      </c>
      <c r="I925" t="s">
        <v>22</v>
      </c>
      <c r="J925">
        <v>130</v>
      </c>
      <c r="K925">
        <v>91</v>
      </c>
      <c r="L925">
        <v>87</v>
      </c>
      <c r="M925">
        <v>8</v>
      </c>
      <c r="N925" s="5">
        <v>11203.19</v>
      </c>
      <c r="O925" t="s">
        <v>31</v>
      </c>
      <c r="P925" t="str">
        <f t="shared" si="29"/>
        <v>Hospital Provincial da Matola</v>
      </c>
      <c r="Q925" t="s">
        <v>24</v>
      </c>
      <c r="R925">
        <v>1</v>
      </c>
    </row>
    <row r="926" spans="1:18" x14ac:dyDescent="0.45">
      <c r="A926" t="s">
        <v>1011</v>
      </c>
      <c r="B926" s="3">
        <v>45640</v>
      </c>
      <c r="C926">
        <v>38</v>
      </c>
      <c r="D926" t="s">
        <v>27</v>
      </c>
      <c r="E926">
        <v>69.400000000000006</v>
      </c>
      <c r="F926">
        <v>151.5</v>
      </c>
      <c r="G926" s="4">
        <f t="shared" si="28"/>
        <v>30.236687035040141</v>
      </c>
      <c r="H926" t="s">
        <v>34</v>
      </c>
      <c r="I926" t="s">
        <v>138</v>
      </c>
      <c r="J926">
        <v>116</v>
      </c>
      <c r="K926">
        <v>71</v>
      </c>
      <c r="L926">
        <v>87</v>
      </c>
      <c r="M926">
        <v>1</v>
      </c>
      <c r="N926" s="5">
        <v>2382.31</v>
      </c>
      <c r="O926" t="s">
        <v>51</v>
      </c>
      <c r="P926" t="str">
        <f t="shared" si="29"/>
        <v>Hospital Central de Quelimane</v>
      </c>
      <c r="Q926" t="s">
        <v>24</v>
      </c>
      <c r="R926">
        <v>3</v>
      </c>
    </row>
    <row r="927" spans="1:18" x14ac:dyDescent="0.45">
      <c r="A927" t="s">
        <v>1012</v>
      </c>
      <c r="B927" s="3">
        <v>45141</v>
      </c>
      <c r="C927">
        <v>14</v>
      </c>
      <c r="D927" t="s">
        <v>20</v>
      </c>
      <c r="E927">
        <v>56.7</v>
      </c>
      <c r="F927">
        <v>159.6</v>
      </c>
      <c r="G927" s="4">
        <f t="shared" si="28"/>
        <v>22.259596359319353</v>
      </c>
      <c r="H927" t="s">
        <v>28</v>
      </c>
      <c r="I927" t="s">
        <v>29</v>
      </c>
      <c r="J927">
        <v>109</v>
      </c>
      <c r="K927">
        <v>69</v>
      </c>
      <c r="L927">
        <v>97</v>
      </c>
      <c r="M927">
        <v>3</v>
      </c>
      <c r="N927" s="5">
        <v>10301.89</v>
      </c>
      <c r="O927" t="s">
        <v>51</v>
      </c>
      <c r="P927" t="str">
        <f t="shared" si="29"/>
        <v>Hospital Central de Quelimane</v>
      </c>
      <c r="Q927" t="s">
        <v>24</v>
      </c>
      <c r="R927">
        <v>2</v>
      </c>
    </row>
    <row r="928" spans="1:18" x14ac:dyDescent="0.45">
      <c r="A928" t="s">
        <v>1013</v>
      </c>
      <c r="B928" s="3">
        <v>45089</v>
      </c>
      <c r="C928">
        <v>31</v>
      </c>
      <c r="D928" t="s">
        <v>27</v>
      </c>
      <c r="E928">
        <v>74.5</v>
      </c>
      <c r="F928">
        <v>155.19999999999999</v>
      </c>
      <c r="G928" s="4">
        <f t="shared" si="28"/>
        <v>30.929495695610594</v>
      </c>
      <c r="H928" t="s">
        <v>91</v>
      </c>
      <c r="I928" t="s">
        <v>110</v>
      </c>
      <c r="J928">
        <v>102</v>
      </c>
      <c r="K928">
        <v>55</v>
      </c>
      <c r="L928">
        <v>112</v>
      </c>
      <c r="M928">
        <v>1</v>
      </c>
      <c r="N928" s="5">
        <v>2189.7600000000002</v>
      </c>
      <c r="O928" t="s">
        <v>31</v>
      </c>
      <c r="P928" t="str">
        <f t="shared" si="29"/>
        <v>Hospital Provincial da Matola</v>
      </c>
      <c r="Q928" t="s">
        <v>37</v>
      </c>
      <c r="R928">
        <v>3</v>
      </c>
    </row>
    <row r="929" spans="1:18" x14ac:dyDescent="0.45">
      <c r="A929" t="s">
        <v>1014</v>
      </c>
      <c r="B929" s="3">
        <v>45459</v>
      </c>
      <c r="C929">
        <v>35</v>
      </c>
      <c r="D929" t="s">
        <v>27</v>
      </c>
      <c r="E929">
        <v>49.8</v>
      </c>
      <c r="F929">
        <v>168.7</v>
      </c>
      <c r="G929" s="4">
        <f t="shared" si="28"/>
        <v>17.498433749629744</v>
      </c>
      <c r="H929" t="s">
        <v>99</v>
      </c>
      <c r="I929" t="s">
        <v>103</v>
      </c>
      <c r="J929">
        <v>109</v>
      </c>
      <c r="K929">
        <v>64</v>
      </c>
      <c r="L929">
        <v>78</v>
      </c>
      <c r="M929">
        <v>7</v>
      </c>
      <c r="N929" s="5">
        <v>15044.48</v>
      </c>
      <c r="O929" t="s">
        <v>57</v>
      </c>
      <c r="P929" t="str">
        <f t="shared" si="29"/>
        <v>Hospital Provincial de Tete</v>
      </c>
      <c r="Q929" t="s">
        <v>202</v>
      </c>
      <c r="R929">
        <v>5</v>
      </c>
    </row>
    <row r="930" spans="1:18" x14ac:dyDescent="0.45">
      <c r="A930" t="s">
        <v>1015</v>
      </c>
      <c r="B930" s="3">
        <v>44947</v>
      </c>
      <c r="C930">
        <v>41</v>
      </c>
      <c r="D930" t="s">
        <v>20</v>
      </c>
      <c r="E930">
        <v>50.7</v>
      </c>
      <c r="F930">
        <v>164.4</v>
      </c>
      <c r="G930" s="4">
        <f t="shared" si="28"/>
        <v>18.75876889196725</v>
      </c>
      <c r="H930" t="s">
        <v>91</v>
      </c>
      <c r="I930" t="s">
        <v>131</v>
      </c>
      <c r="J930">
        <v>129</v>
      </c>
      <c r="K930">
        <v>84</v>
      </c>
      <c r="L930">
        <v>92</v>
      </c>
      <c r="M930">
        <v>1</v>
      </c>
      <c r="N930" s="5">
        <v>4849.09</v>
      </c>
      <c r="O930" t="s">
        <v>63</v>
      </c>
      <c r="P930" t="str">
        <f t="shared" si="29"/>
        <v>Hospital Central de Nampula</v>
      </c>
      <c r="Q930" t="s">
        <v>24</v>
      </c>
      <c r="R930">
        <v>4</v>
      </c>
    </row>
    <row r="931" spans="1:18" x14ac:dyDescent="0.45">
      <c r="A931" t="s">
        <v>1016</v>
      </c>
      <c r="B931" s="3">
        <v>45592</v>
      </c>
      <c r="C931">
        <v>29</v>
      </c>
      <c r="D931" t="s">
        <v>20</v>
      </c>
      <c r="E931">
        <v>61.9</v>
      </c>
      <c r="F931">
        <v>156.69999999999999</v>
      </c>
      <c r="G931" s="4">
        <f t="shared" si="28"/>
        <v>25.208828058280854</v>
      </c>
      <c r="H931" t="s">
        <v>21</v>
      </c>
      <c r="I931" t="s">
        <v>70</v>
      </c>
      <c r="J931">
        <v>129</v>
      </c>
      <c r="K931">
        <v>89</v>
      </c>
      <c r="L931">
        <v>74</v>
      </c>
      <c r="M931">
        <v>8</v>
      </c>
      <c r="N931" s="5">
        <v>13955.56</v>
      </c>
      <c r="O931" t="s">
        <v>30</v>
      </c>
      <c r="P931" t="str">
        <f t="shared" si="29"/>
        <v>Hospital Provincial de Inhambane</v>
      </c>
      <c r="Q931" t="s">
        <v>24</v>
      </c>
      <c r="R931">
        <v>3</v>
      </c>
    </row>
    <row r="932" spans="1:18" x14ac:dyDescent="0.45">
      <c r="A932" t="s">
        <v>1017</v>
      </c>
      <c r="B932" s="3">
        <v>45267</v>
      </c>
      <c r="C932">
        <v>26</v>
      </c>
      <c r="D932" t="s">
        <v>27</v>
      </c>
      <c r="E932">
        <v>74.3</v>
      </c>
      <c r="F932">
        <v>147.19999999999999</v>
      </c>
      <c r="G932" s="4">
        <f t="shared" si="28"/>
        <v>34.290450732514181</v>
      </c>
      <c r="H932" t="s">
        <v>99</v>
      </c>
      <c r="I932" t="s">
        <v>105</v>
      </c>
      <c r="J932">
        <v>116</v>
      </c>
      <c r="K932">
        <v>82</v>
      </c>
      <c r="L932">
        <v>93</v>
      </c>
      <c r="M932">
        <v>2</v>
      </c>
      <c r="N932" s="5">
        <v>5495.71</v>
      </c>
      <c r="O932" t="s">
        <v>51</v>
      </c>
      <c r="P932" t="str">
        <f t="shared" si="29"/>
        <v>Hospital Central de Quelimane</v>
      </c>
      <c r="Q932" t="s">
        <v>24</v>
      </c>
      <c r="R932">
        <v>5</v>
      </c>
    </row>
    <row r="933" spans="1:18" x14ac:dyDescent="0.45">
      <c r="A933" t="s">
        <v>1018</v>
      </c>
      <c r="B933" s="3">
        <v>45256</v>
      </c>
      <c r="C933">
        <v>8</v>
      </c>
      <c r="D933" t="s">
        <v>27</v>
      </c>
      <c r="E933">
        <v>40.700000000000003</v>
      </c>
      <c r="F933">
        <v>138.5</v>
      </c>
      <c r="G933" s="4">
        <f t="shared" si="28"/>
        <v>21.217531832814192</v>
      </c>
      <c r="H933" t="s">
        <v>28</v>
      </c>
      <c r="I933" t="s">
        <v>50</v>
      </c>
      <c r="J933">
        <v>107</v>
      </c>
      <c r="K933">
        <v>68</v>
      </c>
      <c r="L933">
        <v>65</v>
      </c>
      <c r="M933">
        <v>4</v>
      </c>
      <c r="N933" s="5">
        <v>14380.13</v>
      </c>
      <c r="O933" t="s">
        <v>23</v>
      </c>
      <c r="P933" t="str">
        <f t="shared" si="29"/>
        <v>Hospital Central de Maputo</v>
      </c>
      <c r="Q933" t="s">
        <v>24</v>
      </c>
      <c r="R933">
        <v>5</v>
      </c>
    </row>
    <row r="934" spans="1:18" x14ac:dyDescent="0.45">
      <c r="A934" t="s">
        <v>1019</v>
      </c>
      <c r="B934" s="3">
        <v>45579</v>
      </c>
      <c r="C934">
        <v>53</v>
      </c>
      <c r="D934" t="s">
        <v>20</v>
      </c>
      <c r="E934">
        <v>40.4</v>
      </c>
      <c r="F934">
        <v>183.7</v>
      </c>
      <c r="G934" s="4">
        <f t="shared" si="28"/>
        <v>11.971899226241929</v>
      </c>
      <c r="H934" t="s">
        <v>21</v>
      </c>
      <c r="I934" t="s">
        <v>22</v>
      </c>
      <c r="J934">
        <v>155</v>
      </c>
      <c r="K934">
        <v>94</v>
      </c>
      <c r="L934">
        <v>86</v>
      </c>
      <c r="M934">
        <v>3</v>
      </c>
      <c r="N934" s="5">
        <v>10063.75</v>
      </c>
      <c r="O934" t="s">
        <v>23</v>
      </c>
      <c r="P934" t="str">
        <f t="shared" si="29"/>
        <v>Hospital Central de Maputo</v>
      </c>
      <c r="Q934" t="s">
        <v>24</v>
      </c>
      <c r="R934">
        <v>4</v>
      </c>
    </row>
    <row r="935" spans="1:18" x14ac:dyDescent="0.45">
      <c r="A935" t="s">
        <v>1020</v>
      </c>
      <c r="B935" s="3">
        <v>45044</v>
      </c>
      <c r="C935">
        <v>37</v>
      </c>
      <c r="D935" t="s">
        <v>27</v>
      </c>
      <c r="E935">
        <v>51.3</v>
      </c>
      <c r="F935">
        <v>166.8</v>
      </c>
      <c r="G935" s="4">
        <f t="shared" si="28"/>
        <v>18.438486620775315</v>
      </c>
      <c r="H935" t="s">
        <v>46</v>
      </c>
      <c r="I935" t="s">
        <v>94</v>
      </c>
      <c r="J935">
        <v>105</v>
      </c>
      <c r="K935">
        <v>58</v>
      </c>
      <c r="L935">
        <v>92</v>
      </c>
      <c r="M935">
        <v>9</v>
      </c>
      <c r="N935" s="5">
        <v>10830.45</v>
      </c>
      <c r="O935" t="s">
        <v>51</v>
      </c>
      <c r="P935" t="str">
        <f t="shared" si="29"/>
        <v>Hospital Central de Quelimane</v>
      </c>
      <c r="Q935" t="s">
        <v>24</v>
      </c>
      <c r="R935">
        <v>5</v>
      </c>
    </row>
    <row r="936" spans="1:18" x14ac:dyDescent="0.45">
      <c r="A936" t="s">
        <v>1021</v>
      </c>
      <c r="B936" s="3">
        <v>45248</v>
      </c>
      <c r="C936">
        <v>18</v>
      </c>
      <c r="D936" t="s">
        <v>27</v>
      </c>
      <c r="E936">
        <v>63.3</v>
      </c>
      <c r="F936">
        <v>162.5</v>
      </c>
      <c r="G936" s="4">
        <f t="shared" si="28"/>
        <v>23.971597633136092</v>
      </c>
      <c r="H936" t="s">
        <v>41</v>
      </c>
      <c r="I936" t="s">
        <v>217</v>
      </c>
      <c r="J936">
        <v>106</v>
      </c>
      <c r="K936">
        <v>65</v>
      </c>
      <c r="L936">
        <v>101</v>
      </c>
      <c r="M936">
        <v>1</v>
      </c>
      <c r="N936" s="5">
        <v>3405.97</v>
      </c>
      <c r="O936" t="s">
        <v>52</v>
      </c>
      <c r="P936" t="str">
        <f t="shared" si="29"/>
        <v>Hospital Provincial de Chimoio</v>
      </c>
      <c r="Q936" t="s">
        <v>24</v>
      </c>
      <c r="R936">
        <v>4</v>
      </c>
    </row>
    <row r="937" spans="1:18" x14ac:dyDescent="0.45">
      <c r="A937" t="s">
        <v>1022</v>
      </c>
      <c r="B937" s="3">
        <v>45503</v>
      </c>
      <c r="C937">
        <v>4</v>
      </c>
      <c r="D937" t="s">
        <v>20</v>
      </c>
      <c r="E937">
        <v>21.8</v>
      </c>
      <c r="F937">
        <v>45</v>
      </c>
      <c r="G937" s="4">
        <f t="shared" si="28"/>
        <v>107.65432098765432</v>
      </c>
      <c r="H937" t="s">
        <v>28</v>
      </c>
      <c r="I937" t="s">
        <v>50</v>
      </c>
      <c r="J937">
        <v>99</v>
      </c>
      <c r="K937">
        <v>62</v>
      </c>
      <c r="L937">
        <v>82</v>
      </c>
      <c r="M937">
        <v>3</v>
      </c>
      <c r="N937" s="5">
        <v>10047.120000000001</v>
      </c>
      <c r="O937" t="s">
        <v>23</v>
      </c>
      <c r="P937" t="str">
        <f t="shared" si="29"/>
        <v>Hospital Central de Maputo</v>
      </c>
      <c r="Q937" t="s">
        <v>24</v>
      </c>
      <c r="R937">
        <v>4</v>
      </c>
    </row>
    <row r="938" spans="1:18" x14ac:dyDescent="0.45">
      <c r="A938" t="s">
        <v>1023</v>
      </c>
      <c r="B938" s="3">
        <v>45173</v>
      </c>
      <c r="C938">
        <v>47</v>
      </c>
      <c r="D938" t="s">
        <v>27</v>
      </c>
      <c r="E938">
        <v>49.7</v>
      </c>
      <c r="F938">
        <v>151.30000000000001</v>
      </c>
      <c r="G938" s="4">
        <f t="shared" si="28"/>
        <v>21.710935278260365</v>
      </c>
      <c r="H938" t="s">
        <v>55</v>
      </c>
      <c r="I938" t="s">
        <v>56</v>
      </c>
      <c r="J938">
        <v>135</v>
      </c>
      <c r="K938">
        <v>84</v>
      </c>
      <c r="L938">
        <v>65</v>
      </c>
      <c r="M938">
        <v>10</v>
      </c>
      <c r="N938" s="5">
        <v>15549.62</v>
      </c>
      <c r="O938" t="s">
        <v>38</v>
      </c>
      <c r="P938" t="str">
        <f t="shared" si="29"/>
        <v>Hospital Provincial de Xai-Xai</v>
      </c>
      <c r="Q938" t="s">
        <v>24</v>
      </c>
      <c r="R938">
        <v>3</v>
      </c>
    </row>
    <row r="939" spans="1:18" x14ac:dyDescent="0.45">
      <c r="A939" t="s">
        <v>1024</v>
      </c>
      <c r="B939" s="3">
        <v>45328</v>
      </c>
      <c r="C939">
        <v>12</v>
      </c>
      <c r="D939" t="s">
        <v>27</v>
      </c>
      <c r="E939">
        <v>47</v>
      </c>
      <c r="F939">
        <v>178.4</v>
      </c>
      <c r="G939" s="4">
        <f t="shared" si="28"/>
        <v>14.767540067164028</v>
      </c>
      <c r="H939" t="s">
        <v>99</v>
      </c>
      <c r="I939" t="s">
        <v>105</v>
      </c>
      <c r="J939">
        <v>104</v>
      </c>
      <c r="K939">
        <v>59</v>
      </c>
      <c r="L939">
        <v>82</v>
      </c>
      <c r="M939">
        <v>4</v>
      </c>
      <c r="N939" s="5">
        <v>10705.08</v>
      </c>
      <c r="O939" t="s">
        <v>63</v>
      </c>
      <c r="P939" t="str">
        <f t="shared" si="29"/>
        <v>Hospital Central de Nampula</v>
      </c>
      <c r="Q939" t="s">
        <v>24</v>
      </c>
      <c r="R939">
        <v>3</v>
      </c>
    </row>
    <row r="940" spans="1:18" x14ac:dyDescent="0.45">
      <c r="A940" t="s">
        <v>1025</v>
      </c>
      <c r="B940" s="3">
        <v>45119</v>
      </c>
      <c r="C940">
        <v>18</v>
      </c>
      <c r="D940" t="s">
        <v>20</v>
      </c>
      <c r="E940">
        <v>67.7</v>
      </c>
      <c r="F940">
        <v>164.9</v>
      </c>
      <c r="G940" s="4">
        <f t="shared" si="28"/>
        <v>24.897019381796344</v>
      </c>
      <c r="H940" t="s">
        <v>91</v>
      </c>
      <c r="I940" t="s">
        <v>110</v>
      </c>
      <c r="J940">
        <v>101</v>
      </c>
      <c r="K940">
        <v>55</v>
      </c>
      <c r="L940">
        <v>84</v>
      </c>
      <c r="M940">
        <v>3</v>
      </c>
      <c r="N940" s="5">
        <v>10184.23</v>
      </c>
      <c r="O940" t="s">
        <v>43</v>
      </c>
      <c r="P940" t="str">
        <f t="shared" si="29"/>
        <v>Hospital Central da Beira</v>
      </c>
      <c r="Q940" t="s">
        <v>24</v>
      </c>
      <c r="R940">
        <v>3</v>
      </c>
    </row>
    <row r="941" spans="1:18" x14ac:dyDescent="0.45">
      <c r="A941" t="s">
        <v>1026</v>
      </c>
      <c r="B941" s="3">
        <v>45356</v>
      </c>
      <c r="C941">
        <v>47</v>
      </c>
      <c r="D941" t="s">
        <v>20</v>
      </c>
      <c r="E941">
        <v>74.099999999999994</v>
      </c>
      <c r="F941">
        <v>164.7</v>
      </c>
      <c r="G941" s="4">
        <f t="shared" si="28"/>
        <v>27.316874639876229</v>
      </c>
      <c r="H941" t="s">
        <v>91</v>
      </c>
      <c r="I941" t="s">
        <v>131</v>
      </c>
      <c r="J941">
        <v>119</v>
      </c>
      <c r="K941">
        <v>71</v>
      </c>
      <c r="L941">
        <v>114</v>
      </c>
      <c r="M941">
        <v>1</v>
      </c>
      <c r="N941" s="5">
        <v>4967.71</v>
      </c>
      <c r="O941" t="s">
        <v>30</v>
      </c>
      <c r="P941" t="str">
        <f t="shared" si="29"/>
        <v>Hospital Provincial de Inhambane</v>
      </c>
      <c r="Q941" t="s">
        <v>24</v>
      </c>
      <c r="R941">
        <v>5</v>
      </c>
    </row>
    <row r="942" spans="1:18" x14ac:dyDescent="0.45">
      <c r="A942" t="s">
        <v>1027</v>
      </c>
      <c r="B942" s="3">
        <v>44970</v>
      </c>
      <c r="C942">
        <v>18</v>
      </c>
      <c r="D942" t="s">
        <v>20</v>
      </c>
      <c r="E942">
        <v>52.7</v>
      </c>
      <c r="F942">
        <v>161.4</v>
      </c>
      <c r="G942" s="4">
        <f t="shared" si="28"/>
        <v>20.230357359473871</v>
      </c>
      <c r="H942" t="s">
        <v>91</v>
      </c>
      <c r="I942" t="s">
        <v>110</v>
      </c>
      <c r="J942">
        <v>99</v>
      </c>
      <c r="K942">
        <v>60</v>
      </c>
      <c r="L942">
        <v>100</v>
      </c>
      <c r="M942">
        <v>5</v>
      </c>
      <c r="N942" s="5">
        <v>14246.12</v>
      </c>
      <c r="O942" t="s">
        <v>38</v>
      </c>
      <c r="P942" t="str">
        <f t="shared" si="29"/>
        <v>Hospital Provincial de Xai-Xai</v>
      </c>
      <c r="Q942" t="s">
        <v>37</v>
      </c>
      <c r="R942">
        <v>5</v>
      </c>
    </row>
    <row r="943" spans="1:18" x14ac:dyDescent="0.45">
      <c r="A943" t="s">
        <v>1028</v>
      </c>
      <c r="B943" s="3">
        <v>45452</v>
      </c>
      <c r="C943">
        <v>69</v>
      </c>
      <c r="D943" t="s">
        <v>20</v>
      </c>
      <c r="E943">
        <v>75.3</v>
      </c>
      <c r="F943">
        <v>155.19999999999999</v>
      </c>
      <c r="G943" s="4">
        <f t="shared" si="28"/>
        <v>31.261624508449366</v>
      </c>
      <c r="H943" t="s">
        <v>46</v>
      </c>
      <c r="I943" t="s">
        <v>47</v>
      </c>
      <c r="J943">
        <v>120</v>
      </c>
      <c r="K943">
        <v>74</v>
      </c>
      <c r="L943">
        <v>108</v>
      </c>
      <c r="M943">
        <v>14</v>
      </c>
      <c r="N943" s="5">
        <v>30773.42</v>
      </c>
      <c r="O943" t="s">
        <v>23</v>
      </c>
      <c r="P943" t="str">
        <f t="shared" si="29"/>
        <v>Hospital Central de Maputo</v>
      </c>
      <c r="Q943" t="s">
        <v>24</v>
      </c>
      <c r="R943">
        <v>2</v>
      </c>
    </row>
    <row r="944" spans="1:18" x14ac:dyDescent="0.45">
      <c r="A944" t="s">
        <v>1029</v>
      </c>
      <c r="B944" s="3">
        <v>45630</v>
      </c>
      <c r="C944">
        <v>36</v>
      </c>
      <c r="D944" t="s">
        <v>20</v>
      </c>
      <c r="E944">
        <v>90.7</v>
      </c>
      <c r="F944">
        <v>164.4</v>
      </c>
      <c r="G944" s="4">
        <f t="shared" si="28"/>
        <v>33.558586558213598</v>
      </c>
      <c r="H944" t="s">
        <v>34</v>
      </c>
      <c r="I944" t="s">
        <v>126</v>
      </c>
      <c r="J944">
        <v>119</v>
      </c>
      <c r="K944">
        <v>83</v>
      </c>
      <c r="L944">
        <v>68</v>
      </c>
      <c r="M944">
        <v>1</v>
      </c>
      <c r="N944" s="5">
        <v>4422.1899999999996</v>
      </c>
      <c r="O944" t="s">
        <v>43</v>
      </c>
      <c r="P944" t="str">
        <f t="shared" si="29"/>
        <v>Hospital Central da Beira</v>
      </c>
      <c r="Q944" t="s">
        <v>24</v>
      </c>
      <c r="R944">
        <v>3</v>
      </c>
    </row>
    <row r="945" spans="1:18" x14ac:dyDescent="0.45">
      <c r="A945" t="s">
        <v>1030</v>
      </c>
      <c r="B945" s="3">
        <v>45031</v>
      </c>
      <c r="C945">
        <v>63</v>
      </c>
      <c r="D945" t="s">
        <v>20</v>
      </c>
      <c r="E945">
        <v>60.9</v>
      </c>
      <c r="F945">
        <v>148.80000000000001</v>
      </c>
      <c r="G945" s="4">
        <f t="shared" si="28"/>
        <v>27.50498612556364</v>
      </c>
      <c r="H945" t="s">
        <v>21</v>
      </c>
      <c r="I945" t="s">
        <v>89</v>
      </c>
      <c r="J945">
        <v>153</v>
      </c>
      <c r="K945">
        <v>87</v>
      </c>
      <c r="L945">
        <v>82</v>
      </c>
      <c r="M945">
        <v>3</v>
      </c>
      <c r="N945" s="5">
        <v>8266.7999999999993</v>
      </c>
      <c r="O945" t="s">
        <v>31</v>
      </c>
      <c r="P945" t="str">
        <f t="shared" si="29"/>
        <v>Hospital Provincial da Matola</v>
      </c>
      <c r="Q945" t="s">
        <v>24</v>
      </c>
      <c r="R945">
        <v>4</v>
      </c>
    </row>
    <row r="946" spans="1:18" x14ac:dyDescent="0.45">
      <c r="A946" t="s">
        <v>1031</v>
      </c>
      <c r="B946" s="3">
        <v>45158</v>
      </c>
      <c r="C946">
        <v>23</v>
      </c>
      <c r="D946" t="s">
        <v>27</v>
      </c>
      <c r="E946">
        <v>34.4</v>
      </c>
      <c r="F946">
        <v>159.19999999999999</v>
      </c>
      <c r="G946" s="4">
        <f t="shared" si="28"/>
        <v>13.572889573495621</v>
      </c>
      <c r="H946" t="s">
        <v>99</v>
      </c>
      <c r="I946" t="s">
        <v>105</v>
      </c>
      <c r="J946">
        <v>123</v>
      </c>
      <c r="K946">
        <v>72</v>
      </c>
      <c r="L946">
        <v>65</v>
      </c>
      <c r="M946">
        <v>1</v>
      </c>
      <c r="N946" s="5">
        <v>3826.79</v>
      </c>
      <c r="O946" t="s">
        <v>52</v>
      </c>
      <c r="P946" t="str">
        <f t="shared" si="29"/>
        <v>Hospital Provincial de Chimoio</v>
      </c>
      <c r="Q946" t="s">
        <v>24</v>
      </c>
      <c r="R946">
        <v>4</v>
      </c>
    </row>
    <row r="947" spans="1:18" x14ac:dyDescent="0.45">
      <c r="A947" t="s">
        <v>1032</v>
      </c>
      <c r="B947" s="3">
        <v>45464</v>
      </c>
      <c r="C947">
        <v>37</v>
      </c>
      <c r="D947" t="s">
        <v>20</v>
      </c>
      <c r="E947">
        <v>66.7</v>
      </c>
      <c r="F947">
        <v>163.5</v>
      </c>
      <c r="G947" s="4">
        <f t="shared" si="28"/>
        <v>24.951135800390915</v>
      </c>
      <c r="H947" t="s">
        <v>21</v>
      </c>
      <c r="I947" t="s">
        <v>70</v>
      </c>
      <c r="J947">
        <v>120</v>
      </c>
      <c r="K947">
        <v>67</v>
      </c>
      <c r="L947">
        <v>90</v>
      </c>
      <c r="M947">
        <v>3</v>
      </c>
      <c r="N947" s="5">
        <v>10703.41</v>
      </c>
      <c r="O947" t="s">
        <v>23</v>
      </c>
      <c r="P947" t="str">
        <f t="shared" si="29"/>
        <v>Hospital Central de Maputo</v>
      </c>
      <c r="Q947" t="s">
        <v>24</v>
      </c>
      <c r="R947">
        <v>4</v>
      </c>
    </row>
    <row r="948" spans="1:18" x14ac:dyDescent="0.45">
      <c r="A948" t="s">
        <v>1033</v>
      </c>
      <c r="B948" s="3">
        <v>45579</v>
      </c>
      <c r="C948">
        <v>9</v>
      </c>
      <c r="D948" t="s">
        <v>27</v>
      </c>
      <c r="E948">
        <v>45.2</v>
      </c>
      <c r="F948">
        <v>126.4</v>
      </c>
      <c r="G948" s="4">
        <f t="shared" si="28"/>
        <v>28.290738663675693</v>
      </c>
      <c r="H948" t="s">
        <v>28</v>
      </c>
      <c r="I948" t="s">
        <v>29</v>
      </c>
      <c r="J948">
        <v>97</v>
      </c>
      <c r="K948">
        <v>70</v>
      </c>
      <c r="L948">
        <v>68</v>
      </c>
      <c r="M948">
        <v>4</v>
      </c>
      <c r="N948" s="5">
        <v>9694.41</v>
      </c>
      <c r="O948" t="s">
        <v>30</v>
      </c>
      <c r="P948" t="str">
        <f t="shared" si="29"/>
        <v>Hospital Provincial de Inhambane</v>
      </c>
      <c r="Q948" t="s">
        <v>37</v>
      </c>
      <c r="R948">
        <v>2</v>
      </c>
    </row>
    <row r="949" spans="1:18" x14ac:dyDescent="0.45">
      <c r="A949" t="s">
        <v>1034</v>
      </c>
      <c r="B949" s="3">
        <v>45545</v>
      </c>
      <c r="C949">
        <v>34</v>
      </c>
      <c r="D949" t="s">
        <v>27</v>
      </c>
      <c r="E949">
        <v>71.7</v>
      </c>
      <c r="F949">
        <v>153.69999999999999</v>
      </c>
      <c r="G949" s="4">
        <f t="shared" si="28"/>
        <v>30.350889297988591</v>
      </c>
      <c r="H949" t="s">
        <v>99</v>
      </c>
      <c r="I949" t="s">
        <v>151</v>
      </c>
      <c r="J949">
        <v>119</v>
      </c>
      <c r="K949">
        <v>74</v>
      </c>
      <c r="L949">
        <v>111</v>
      </c>
      <c r="M949">
        <v>1</v>
      </c>
      <c r="N949" s="5">
        <v>1992.48</v>
      </c>
      <c r="O949" t="s">
        <v>36</v>
      </c>
      <c r="P949" t="str">
        <f t="shared" si="29"/>
        <v>Hospital Provincial de Lichinga</v>
      </c>
      <c r="Q949" t="s">
        <v>24</v>
      </c>
      <c r="R949">
        <v>5</v>
      </c>
    </row>
    <row r="950" spans="1:18" x14ac:dyDescent="0.45">
      <c r="A950" t="s">
        <v>1035</v>
      </c>
      <c r="B950" s="3">
        <v>45088</v>
      </c>
      <c r="C950">
        <v>31</v>
      </c>
      <c r="D950" t="s">
        <v>20</v>
      </c>
      <c r="E950">
        <v>62.3</v>
      </c>
      <c r="F950">
        <v>162.9</v>
      </c>
      <c r="G950" s="4">
        <f t="shared" si="28"/>
        <v>23.477177206713343</v>
      </c>
      <c r="H950" t="s">
        <v>55</v>
      </c>
      <c r="I950" t="s">
        <v>56</v>
      </c>
      <c r="J950">
        <v>123</v>
      </c>
      <c r="K950">
        <v>80</v>
      </c>
      <c r="L950">
        <v>95</v>
      </c>
      <c r="M950">
        <v>1</v>
      </c>
      <c r="N950" s="5">
        <v>6981.09</v>
      </c>
      <c r="O950" t="s">
        <v>23</v>
      </c>
      <c r="P950" t="str">
        <f t="shared" si="29"/>
        <v>Hospital Central de Maputo</v>
      </c>
      <c r="Q950" t="s">
        <v>24</v>
      </c>
      <c r="R950">
        <v>5</v>
      </c>
    </row>
    <row r="951" spans="1:18" x14ac:dyDescent="0.45">
      <c r="A951" t="s">
        <v>1036</v>
      </c>
      <c r="B951" s="3">
        <v>44970</v>
      </c>
      <c r="C951">
        <v>40</v>
      </c>
      <c r="D951" t="s">
        <v>27</v>
      </c>
      <c r="E951">
        <v>75.7</v>
      </c>
      <c r="F951">
        <v>155</v>
      </c>
      <c r="G951" s="4">
        <f t="shared" si="28"/>
        <v>31.508844953173774</v>
      </c>
      <c r="H951" t="s">
        <v>46</v>
      </c>
      <c r="I951" t="s">
        <v>66</v>
      </c>
      <c r="J951">
        <v>111</v>
      </c>
      <c r="K951">
        <v>78</v>
      </c>
      <c r="L951">
        <v>83</v>
      </c>
      <c r="M951">
        <v>2</v>
      </c>
      <c r="N951" s="5">
        <v>5155.2</v>
      </c>
      <c r="O951" t="s">
        <v>43</v>
      </c>
      <c r="P951" t="str">
        <f t="shared" si="29"/>
        <v>Hospital Central da Beira</v>
      </c>
      <c r="Q951" t="s">
        <v>37</v>
      </c>
      <c r="R951">
        <v>5</v>
      </c>
    </row>
    <row r="952" spans="1:18" x14ac:dyDescent="0.45">
      <c r="A952" t="s">
        <v>1037</v>
      </c>
      <c r="B952" s="3">
        <v>45124</v>
      </c>
      <c r="C952">
        <v>42</v>
      </c>
      <c r="D952" t="s">
        <v>20</v>
      </c>
      <c r="E952">
        <v>72.5</v>
      </c>
      <c r="F952">
        <v>171.6</v>
      </c>
      <c r="G952" s="4">
        <f t="shared" si="28"/>
        <v>24.620872522970426</v>
      </c>
      <c r="H952" t="s">
        <v>41</v>
      </c>
      <c r="I952" t="s">
        <v>217</v>
      </c>
      <c r="J952">
        <v>98</v>
      </c>
      <c r="K952">
        <v>55</v>
      </c>
      <c r="L952">
        <v>108</v>
      </c>
      <c r="M952">
        <v>1</v>
      </c>
      <c r="N952" s="5">
        <v>4322.5600000000004</v>
      </c>
      <c r="O952" t="s">
        <v>67</v>
      </c>
      <c r="P952" t="str">
        <f t="shared" si="29"/>
        <v>Hospital Provincial de Pemba</v>
      </c>
      <c r="Q952" t="s">
        <v>24</v>
      </c>
      <c r="R952">
        <v>3</v>
      </c>
    </row>
    <row r="953" spans="1:18" x14ac:dyDescent="0.45">
      <c r="A953" t="s">
        <v>1038</v>
      </c>
      <c r="B953" s="3">
        <v>45275</v>
      </c>
      <c r="C953">
        <v>18</v>
      </c>
      <c r="D953" t="s">
        <v>27</v>
      </c>
      <c r="E953">
        <v>51.6</v>
      </c>
      <c r="F953">
        <v>167.9</v>
      </c>
      <c r="G953" s="4">
        <f t="shared" si="28"/>
        <v>18.304097031579175</v>
      </c>
      <c r="H953" t="s">
        <v>21</v>
      </c>
      <c r="I953" t="s">
        <v>89</v>
      </c>
      <c r="J953">
        <v>126</v>
      </c>
      <c r="K953">
        <v>81</v>
      </c>
      <c r="L953">
        <v>72</v>
      </c>
      <c r="M953">
        <v>3</v>
      </c>
      <c r="N953" s="5">
        <v>11452.34</v>
      </c>
      <c r="O953" t="s">
        <v>36</v>
      </c>
      <c r="P953" t="str">
        <f t="shared" si="29"/>
        <v>Hospital Provincial de Lichinga</v>
      </c>
      <c r="Q953" t="s">
        <v>37</v>
      </c>
      <c r="R953">
        <v>3</v>
      </c>
    </row>
    <row r="954" spans="1:18" x14ac:dyDescent="0.45">
      <c r="A954" t="s">
        <v>1039</v>
      </c>
      <c r="B954" s="3">
        <v>44968</v>
      </c>
      <c r="C954">
        <v>17</v>
      </c>
      <c r="D954" t="s">
        <v>20</v>
      </c>
      <c r="E954">
        <v>30.5</v>
      </c>
      <c r="F954">
        <v>170.1</v>
      </c>
      <c r="G954" s="4">
        <f t="shared" si="28"/>
        <v>10.541228125655589</v>
      </c>
      <c r="H954" t="s">
        <v>28</v>
      </c>
      <c r="I954" t="s">
        <v>29</v>
      </c>
      <c r="J954">
        <v>108</v>
      </c>
      <c r="K954">
        <v>61</v>
      </c>
      <c r="L954">
        <v>90</v>
      </c>
      <c r="M954">
        <v>9</v>
      </c>
      <c r="N954" s="5">
        <v>25587.51</v>
      </c>
      <c r="O954" t="s">
        <v>43</v>
      </c>
      <c r="P954" t="str">
        <f t="shared" si="29"/>
        <v>Hospital Central da Beira</v>
      </c>
      <c r="Q954" t="s">
        <v>24</v>
      </c>
      <c r="R954">
        <v>4</v>
      </c>
    </row>
    <row r="955" spans="1:18" x14ac:dyDescent="0.45">
      <c r="A955" t="s">
        <v>1040</v>
      </c>
      <c r="B955" s="3">
        <v>45556</v>
      </c>
      <c r="C955">
        <v>71</v>
      </c>
      <c r="D955" t="s">
        <v>20</v>
      </c>
      <c r="E955">
        <v>69.5</v>
      </c>
      <c r="F955">
        <v>149.80000000000001</v>
      </c>
      <c r="G955" s="4">
        <f t="shared" si="28"/>
        <v>30.97142429336132</v>
      </c>
      <c r="H955" t="s">
        <v>21</v>
      </c>
      <c r="I955" t="s">
        <v>123</v>
      </c>
      <c r="J955">
        <v>125</v>
      </c>
      <c r="K955">
        <v>76</v>
      </c>
      <c r="L955">
        <v>77</v>
      </c>
      <c r="M955">
        <v>4</v>
      </c>
      <c r="N955" s="5">
        <v>12476.11</v>
      </c>
      <c r="O955" t="s">
        <v>31</v>
      </c>
      <c r="P955" t="str">
        <f t="shared" si="29"/>
        <v>Hospital Provincial da Matola</v>
      </c>
      <c r="Q955" t="s">
        <v>24</v>
      </c>
      <c r="R955">
        <v>5</v>
      </c>
    </row>
    <row r="956" spans="1:18" x14ac:dyDescent="0.45">
      <c r="A956" t="s">
        <v>1041</v>
      </c>
      <c r="B956" s="3">
        <v>45188</v>
      </c>
      <c r="C956">
        <v>54</v>
      </c>
      <c r="D956" t="s">
        <v>20</v>
      </c>
      <c r="E956">
        <v>48.4</v>
      </c>
      <c r="F956">
        <v>164.2</v>
      </c>
      <c r="G956" s="4">
        <f t="shared" si="28"/>
        <v>17.951430254242698</v>
      </c>
      <c r="H956" t="s">
        <v>91</v>
      </c>
      <c r="I956" t="s">
        <v>131</v>
      </c>
      <c r="J956">
        <v>106</v>
      </c>
      <c r="K956">
        <v>73</v>
      </c>
      <c r="L956">
        <v>84</v>
      </c>
      <c r="M956">
        <v>3</v>
      </c>
      <c r="N956" s="5">
        <v>9704.39</v>
      </c>
      <c r="O956" t="s">
        <v>51</v>
      </c>
      <c r="P956" t="str">
        <f t="shared" si="29"/>
        <v>Hospital Central de Quelimane</v>
      </c>
      <c r="Q956" t="s">
        <v>76</v>
      </c>
      <c r="R956">
        <v>4</v>
      </c>
    </row>
    <row r="957" spans="1:18" x14ac:dyDescent="0.45">
      <c r="A957" t="s">
        <v>1042</v>
      </c>
      <c r="B957" s="3">
        <v>45461</v>
      </c>
      <c r="C957">
        <v>11</v>
      </c>
      <c r="D957" t="s">
        <v>27</v>
      </c>
      <c r="E957">
        <v>15.5</v>
      </c>
      <c r="F957">
        <v>134.19999999999999</v>
      </c>
      <c r="G957" s="4">
        <f t="shared" si="28"/>
        <v>8.6065018512307869</v>
      </c>
      <c r="H957" t="s">
        <v>28</v>
      </c>
      <c r="I957" t="s">
        <v>73</v>
      </c>
      <c r="J957">
        <v>92</v>
      </c>
      <c r="K957">
        <v>61</v>
      </c>
      <c r="L957">
        <v>105</v>
      </c>
      <c r="M957">
        <v>1</v>
      </c>
      <c r="N957" s="5">
        <v>6027.04</v>
      </c>
      <c r="O957" t="s">
        <v>57</v>
      </c>
      <c r="P957" t="str">
        <f t="shared" si="29"/>
        <v>Hospital Provincial de Tete</v>
      </c>
      <c r="Q957" t="s">
        <v>37</v>
      </c>
      <c r="R957">
        <v>5</v>
      </c>
    </row>
    <row r="958" spans="1:18" x14ac:dyDescent="0.45">
      <c r="A958" t="s">
        <v>1043</v>
      </c>
      <c r="B958" s="3">
        <v>45106</v>
      </c>
      <c r="C958">
        <v>54</v>
      </c>
      <c r="D958" t="s">
        <v>20</v>
      </c>
      <c r="E958">
        <v>62.2</v>
      </c>
      <c r="F958">
        <v>149.19999999999999</v>
      </c>
      <c r="G958" s="4">
        <f t="shared" si="28"/>
        <v>27.941694398723488</v>
      </c>
      <c r="H958" t="s">
        <v>21</v>
      </c>
      <c r="I958" t="s">
        <v>70</v>
      </c>
      <c r="J958">
        <v>127</v>
      </c>
      <c r="K958">
        <v>84</v>
      </c>
      <c r="L958">
        <v>97</v>
      </c>
      <c r="M958">
        <v>3</v>
      </c>
      <c r="N958" s="5">
        <v>11033.19</v>
      </c>
      <c r="O958" t="s">
        <v>51</v>
      </c>
      <c r="P958" t="str">
        <f t="shared" si="29"/>
        <v>Hospital Central de Quelimane</v>
      </c>
      <c r="Q958" t="s">
        <v>76</v>
      </c>
      <c r="R958">
        <v>4</v>
      </c>
    </row>
    <row r="959" spans="1:18" x14ac:dyDescent="0.45">
      <c r="A959" t="s">
        <v>1044</v>
      </c>
      <c r="B959" s="3">
        <v>45334</v>
      </c>
      <c r="C959">
        <v>18</v>
      </c>
      <c r="D959" t="s">
        <v>20</v>
      </c>
      <c r="E959">
        <v>67.900000000000006</v>
      </c>
      <c r="F959">
        <v>172.4</v>
      </c>
      <c r="G959" s="4">
        <f t="shared" si="28"/>
        <v>22.845215088204739</v>
      </c>
      <c r="H959" t="s">
        <v>41</v>
      </c>
      <c r="I959" t="s">
        <v>161</v>
      </c>
      <c r="J959">
        <v>114</v>
      </c>
      <c r="K959">
        <v>55</v>
      </c>
      <c r="L959">
        <v>65</v>
      </c>
      <c r="M959">
        <v>1</v>
      </c>
      <c r="N959" s="5">
        <v>3905.39</v>
      </c>
      <c r="O959" t="s">
        <v>51</v>
      </c>
      <c r="P959" t="str">
        <f t="shared" si="29"/>
        <v>Hospital Central de Quelimane</v>
      </c>
      <c r="Q959" t="s">
        <v>37</v>
      </c>
      <c r="R959">
        <v>4</v>
      </c>
    </row>
    <row r="960" spans="1:18" x14ac:dyDescent="0.45">
      <c r="A960" t="s">
        <v>1045</v>
      </c>
      <c r="B960" s="3">
        <v>45459</v>
      </c>
      <c r="C960">
        <v>35</v>
      </c>
      <c r="D960" t="s">
        <v>20</v>
      </c>
      <c r="E960">
        <v>76.099999999999994</v>
      </c>
      <c r="F960">
        <v>162.4</v>
      </c>
      <c r="G960" s="4">
        <f t="shared" si="28"/>
        <v>28.854437137518499</v>
      </c>
      <c r="H960" t="s">
        <v>46</v>
      </c>
      <c r="I960" t="s">
        <v>108</v>
      </c>
      <c r="J960">
        <v>91</v>
      </c>
      <c r="K960">
        <v>68</v>
      </c>
      <c r="L960">
        <v>80</v>
      </c>
      <c r="M960">
        <v>1</v>
      </c>
      <c r="N960" s="5">
        <v>3982.59</v>
      </c>
      <c r="O960" t="s">
        <v>57</v>
      </c>
      <c r="P960" t="str">
        <f t="shared" si="29"/>
        <v>Hospital Provincial de Tete</v>
      </c>
      <c r="Q960" t="s">
        <v>24</v>
      </c>
      <c r="R960">
        <v>4</v>
      </c>
    </row>
    <row r="961" spans="1:18" x14ac:dyDescent="0.45">
      <c r="A961" t="s">
        <v>1046</v>
      </c>
      <c r="B961" s="3">
        <v>45077</v>
      </c>
      <c r="C961">
        <v>21</v>
      </c>
      <c r="D961" t="s">
        <v>27</v>
      </c>
      <c r="E961">
        <v>61.2</v>
      </c>
      <c r="F961">
        <v>173.5</v>
      </c>
      <c r="G961" s="4">
        <f t="shared" si="28"/>
        <v>20.330706176448604</v>
      </c>
      <c r="H961" t="s">
        <v>55</v>
      </c>
      <c r="I961" t="s">
        <v>56</v>
      </c>
      <c r="J961">
        <v>103</v>
      </c>
      <c r="K961">
        <v>56</v>
      </c>
      <c r="L961">
        <v>80</v>
      </c>
      <c r="M961">
        <v>1</v>
      </c>
      <c r="N961" s="5">
        <v>7312.54</v>
      </c>
      <c r="O961" t="s">
        <v>31</v>
      </c>
      <c r="P961" t="str">
        <f t="shared" si="29"/>
        <v>Hospital Provincial da Matola</v>
      </c>
      <c r="Q961" t="s">
        <v>24</v>
      </c>
      <c r="R961">
        <v>5</v>
      </c>
    </row>
    <row r="962" spans="1:18" x14ac:dyDescent="0.45">
      <c r="A962" t="s">
        <v>1047</v>
      </c>
      <c r="B962" s="3">
        <v>45027</v>
      </c>
      <c r="C962">
        <v>43</v>
      </c>
      <c r="D962" t="s">
        <v>20</v>
      </c>
      <c r="E962">
        <v>83.8</v>
      </c>
      <c r="F962">
        <v>155.69999999999999</v>
      </c>
      <c r="G962" s="4">
        <f t="shared" ref="G962:G1025" si="30">E962/((F962/100)^2)</f>
        <v>34.567406235910589</v>
      </c>
      <c r="H962" t="s">
        <v>46</v>
      </c>
      <c r="I962" t="s">
        <v>108</v>
      </c>
      <c r="J962">
        <v>114</v>
      </c>
      <c r="K962">
        <v>70</v>
      </c>
      <c r="L962">
        <v>102</v>
      </c>
      <c r="M962">
        <v>1</v>
      </c>
      <c r="N962" s="5">
        <v>3491.24</v>
      </c>
      <c r="O962" t="s">
        <v>63</v>
      </c>
      <c r="P962" t="str">
        <f t="shared" ref="P962:P1025" si="31">INDEX($U$2:$U$12,MATCH(O962,$T$2:$T$12,0))</f>
        <v>Hospital Central de Nampula</v>
      </c>
      <c r="Q962" t="s">
        <v>24</v>
      </c>
      <c r="R962">
        <v>4</v>
      </c>
    </row>
    <row r="963" spans="1:18" x14ac:dyDescent="0.45">
      <c r="A963" t="s">
        <v>1048</v>
      </c>
      <c r="B963" s="3">
        <v>45568</v>
      </c>
      <c r="C963">
        <v>29</v>
      </c>
      <c r="D963" t="s">
        <v>27</v>
      </c>
      <c r="E963">
        <v>81.8</v>
      </c>
      <c r="F963">
        <v>158.30000000000001</v>
      </c>
      <c r="G963" s="4">
        <f t="shared" si="30"/>
        <v>32.643105899742558</v>
      </c>
      <c r="H963" t="s">
        <v>99</v>
      </c>
      <c r="I963" t="s">
        <v>103</v>
      </c>
      <c r="J963">
        <v>111</v>
      </c>
      <c r="K963">
        <v>60</v>
      </c>
      <c r="L963">
        <v>86</v>
      </c>
      <c r="M963">
        <v>9</v>
      </c>
      <c r="N963" s="5">
        <v>19853.400000000001</v>
      </c>
      <c r="O963" t="s">
        <v>23</v>
      </c>
      <c r="P963" t="str">
        <f t="shared" si="31"/>
        <v>Hospital Central de Maputo</v>
      </c>
      <c r="Q963" t="s">
        <v>76</v>
      </c>
      <c r="R963">
        <v>4</v>
      </c>
    </row>
    <row r="964" spans="1:18" x14ac:dyDescent="0.45">
      <c r="A964" t="s">
        <v>1049</v>
      </c>
      <c r="B964" s="3">
        <v>45133</v>
      </c>
      <c r="C964">
        <v>46</v>
      </c>
      <c r="D964" t="s">
        <v>20</v>
      </c>
      <c r="E964">
        <v>68.2</v>
      </c>
      <c r="F964">
        <v>174.6</v>
      </c>
      <c r="G964" s="4">
        <f t="shared" si="30"/>
        <v>22.371540775905395</v>
      </c>
      <c r="H964" t="s">
        <v>21</v>
      </c>
      <c r="I964" t="s">
        <v>22</v>
      </c>
      <c r="J964">
        <v>144</v>
      </c>
      <c r="K964">
        <v>81</v>
      </c>
      <c r="L964">
        <v>86</v>
      </c>
      <c r="M964">
        <v>1</v>
      </c>
      <c r="N964" s="5">
        <v>4054.23</v>
      </c>
      <c r="O964" t="s">
        <v>63</v>
      </c>
      <c r="P964" t="str">
        <f t="shared" si="31"/>
        <v>Hospital Central de Nampula</v>
      </c>
      <c r="Q964" t="s">
        <v>24</v>
      </c>
      <c r="R964">
        <v>4</v>
      </c>
    </row>
    <row r="965" spans="1:18" x14ac:dyDescent="0.45">
      <c r="A965" t="s">
        <v>1050</v>
      </c>
      <c r="B965" s="3">
        <v>45108</v>
      </c>
      <c r="C965">
        <v>37</v>
      </c>
      <c r="D965" t="s">
        <v>27</v>
      </c>
      <c r="E965">
        <v>74.900000000000006</v>
      </c>
      <c r="F965">
        <v>159</v>
      </c>
      <c r="G965" s="4">
        <f t="shared" si="30"/>
        <v>29.6269926031407</v>
      </c>
      <c r="H965" t="s">
        <v>99</v>
      </c>
      <c r="I965" t="s">
        <v>103</v>
      </c>
      <c r="J965">
        <v>118</v>
      </c>
      <c r="K965">
        <v>70</v>
      </c>
      <c r="L965">
        <v>78</v>
      </c>
      <c r="M965">
        <v>9</v>
      </c>
      <c r="N965" s="5">
        <v>19677.84</v>
      </c>
      <c r="O965" t="s">
        <v>43</v>
      </c>
      <c r="P965" t="str">
        <f t="shared" si="31"/>
        <v>Hospital Central da Beira</v>
      </c>
      <c r="Q965" t="s">
        <v>24</v>
      </c>
      <c r="R965">
        <v>5</v>
      </c>
    </row>
    <row r="966" spans="1:18" x14ac:dyDescent="0.45">
      <c r="A966" t="s">
        <v>1051</v>
      </c>
      <c r="B966" s="3">
        <v>45070</v>
      </c>
      <c r="C966">
        <v>30</v>
      </c>
      <c r="D966" t="s">
        <v>27</v>
      </c>
      <c r="E966">
        <v>55.4</v>
      </c>
      <c r="F966">
        <v>165.5</v>
      </c>
      <c r="G966" s="4">
        <f t="shared" si="30"/>
        <v>20.226175372623466</v>
      </c>
      <c r="H966" t="s">
        <v>46</v>
      </c>
      <c r="I966" t="s">
        <v>94</v>
      </c>
      <c r="J966">
        <v>124</v>
      </c>
      <c r="K966">
        <v>87</v>
      </c>
      <c r="L966">
        <v>108</v>
      </c>
      <c r="M966">
        <v>5</v>
      </c>
      <c r="N966" s="5">
        <v>17459.84</v>
      </c>
      <c r="O966" t="s">
        <v>67</v>
      </c>
      <c r="P966" t="str">
        <f t="shared" si="31"/>
        <v>Hospital Provincial de Pemba</v>
      </c>
      <c r="Q966" t="s">
        <v>76</v>
      </c>
      <c r="R966">
        <v>4</v>
      </c>
    </row>
    <row r="967" spans="1:18" x14ac:dyDescent="0.45">
      <c r="A967" t="s">
        <v>1052</v>
      </c>
      <c r="B967" s="3">
        <v>45543</v>
      </c>
      <c r="C967">
        <v>36</v>
      </c>
      <c r="D967" t="s">
        <v>20</v>
      </c>
      <c r="E967">
        <v>71.2</v>
      </c>
      <c r="F967">
        <v>172</v>
      </c>
      <c r="G967" s="4">
        <f t="shared" si="30"/>
        <v>24.067063277447271</v>
      </c>
      <c r="H967" t="s">
        <v>46</v>
      </c>
      <c r="I967" t="s">
        <v>108</v>
      </c>
      <c r="J967">
        <v>117</v>
      </c>
      <c r="K967">
        <v>73</v>
      </c>
      <c r="L967">
        <v>102</v>
      </c>
      <c r="M967">
        <v>11</v>
      </c>
      <c r="N967" s="5">
        <v>35615.11</v>
      </c>
      <c r="O967" t="s">
        <v>51</v>
      </c>
      <c r="P967" t="str">
        <f t="shared" si="31"/>
        <v>Hospital Central de Quelimane</v>
      </c>
      <c r="Q967" t="s">
        <v>24</v>
      </c>
      <c r="R967">
        <v>4</v>
      </c>
    </row>
    <row r="968" spans="1:18" x14ac:dyDescent="0.45">
      <c r="A968" t="s">
        <v>1053</v>
      </c>
      <c r="B968" s="3">
        <v>45337</v>
      </c>
      <c r="C968">
        <v>55</v>
      </c>
      <c r="D968" t="s">
        <v>20</v>
      </c>
      <c r="E968">
        <v>79</v>
      </c>
      <c r="F968">
        <v>158.6</v>
      </c>
      <c r="G968" s="4">
        <f t="shared" si="30"/>
        <v>31.406585682731471</v>
      </c>
      <c r="H968" t="s">
        <v>41</v>
      </c>
      <c r="I968" t="s">
        <v>113</v>
      </c>
      <c r="J968">
        <v>126</v>
      </c>
      <c r="K968">
        <v>79</v>
      </c>
      <c r="L968">
        <v>98</v>
      </c>
      <c r="M968">
        <v>3</v>
      </c>
      <c r="N968" s="5">
        <v>3652.33</v>
      </c>
      <c r="O968" t="s">
        <v>51</v>
      </c>
      <c r="P968" t="str">
        <f t="shared" si="31"/>
        <v>Hospital Central de Quelimane</v>
      </c>
      <c r="Q968" t="s">
        <v>24</v>
      </c>
      <c r="R968">
        <v>4</v>
      </c>
    </row>
    <row r="969" spans="1:18" x14ac:dyDescent="0.45">
      <c r="A969" t="s">
        <v>1054</v>
      </c>
      <c r="B969" s="3">
        <v>45612</v>
      </c>
      <c r="C969">
        <v>15</v>
      </c>
      <c r="D969" t="s">
        <v>27</v>
      </c>
      <c r="E969">
        <v>69.5</v>
      </c>
      <c r="F969">
        <v>158.80000000000001</v>
      </c>
      <c r="G969" s="4">
        <f t="shared" si="30"/>
        <v>27.560291607712752</v>
      </c>
      <c r="H969" t="s">
        <v>28</v>
      </c>
      <c r="I969" t="s">
        <v>50</v>
      </c>
      <c r="J969">
        <v>85</v>
      </c>
      <c r="K969">
        <v>56</v>
      </c>
      <c r="L969">
        <v>72</v>
      </c>
      <c r="M969">
        <v>3</v>
      </c>
      <c r="N969" s="5">
        <v>8832.26</v>
      </c>
      <c r="O969" t="s">
        <v>57</v>
      </c>
      <c r="P969" t="str">
        <f t="shared" si="31"/>
        <v>Hospital Provincial de Tete</v>
      </c>
      <c r="Q969" t="s">
        <v>24</v>
      </c>
      <c r="R969">
        <v>5</v>
      </c>
    </row>
    <row r="970" spans="1:18" x14ac:dyDescent="0.45">
      <c r="A970" t="s">
        <v>1055</v>
      </c>
      <c r="B970" s="3">
        <v>45228</v>
      </c>
      <c r="C970">
        <v>33</v>
      </c>
      <c r="D970" t="s">
        <v>20</v>
      </c>
      <c r="E970">
        <v>68.099999999999994</v>
      </c>
      <c r="F970">
        <v>156.30000000000001</v>
      </c>
      <c r="G970" s="4">
        <f t="shared" si="30"/>
        <v>27.875916558908433</v>
      </c>
      <c r="H970" t="s">
        <v>34</v>
      </c>
      <c r="I970" t="s">
        <v>128</v>
      </c>
      <c r="J970">
        <v>125</v>
      </c>
      <c r="K970">
        <v>79</v>
      </c>
      <c r="L970">
        <v>75</v>
      </c>
      <c r="M970">
        <v>2</v>
      </c>
      <c r="N970" s="5">
        <v>7733.06</v>
      </c>
      <c r="O970" t="s">
        <v>63</v>
      </c>
      <c r="P970" t="str">
        <f t="shared" si="31"/>
        <v>Hospital Central de Nampula</v>
      </c>
      <c r="Q970" t="s">
        <v>24</v>
      </c>
      <c r="R970">
        <v>4</v>
      </c>
    </row>
    <row r="971" spans="1:18" x14ac:dyDescent="0.45">
      <c r="A971" t="s">
        <v>1056</v>
      </c>
      <c r="B971" s="3">
        <v>45452</v>
      </c>
      <c r="C971">
        <v>18</v>
      </c>
      <c r="D971" t="s">
        <v>20</v>
      </c>
      <c r="E971">
        <v>64.599999999999994</v>
      </c>
      <c r="F971">
        <v>168.3</v>
      </c>
      <c r="G971" s="4">
        <f t="shared" si="30"/>
        <v>22.806796425334745</v>
      </c>
      <c r="H971" t="s">
        <v>34</v>
      </c>
      <c r="I971" t="s">
        <v>128</v>
      </c>
      <c r="J971">
        <v>118</v>
      </c>
      <c r="K971">
        <v>76</v>
      </c>
      <c r="L971">
        <v>97</v>
      </c>
      <c r="M971">
        <v>1</v>
      </c>
      <c r="N971" s="5">
        <v>3754.42</v>
      </c>
      <c r="O971" t="s">
        <v>67</v>
      </c>
      <c r="P971" t="str">
        <f t="shared" si="31"/>
        <v>Hospital Provincial de Pemba</v>
      </c>
      <c r="Q971" t="s">
        <v>24</v>
      </c>
      <c r="R971">
        <v>4</v>
      </c>
    </row>
    <row r="972" spans="1:18" x14ac:dyDescent="0.45">
      <c r="A972" t="s">
        <v>1057</v>
      </c>
      <c r="B972" s="3">
        <v>45275</v>
      </c>
      <c r="C972">
        <v>18</v>
      </c>
      <c r="D972" t="s">
        <v>27</v>
      </c>
      <c r="E972">
        <v>76.599999999999994</v>
      </c>
      <c r="F972">
        <v>164</v>
      </c>
      <c r="G972" s="4">
        <f t="shared" si="30"/>
        <v>28.480071386079718</v>
      </c>
      <c r="H972" t="s">
        <v>46</v>
      </c>
      <c r="I972" t="s">
        <v>66</v>
      </c>
      <c r="J972">
        <v>118</v>
      </c>
      <c r="K972">
        <v>62</v>
      </c>
      <c r="L972">
        <v>65</v>
      </c>
      <c r="M972">
        <v>7</v>
      </c>
      <c r="N972" s="5">
        <v>11865.94</v>
      </c>
      <c r="O972" t="s">
        <v>30</v>
      </c>
      <c r="P972" t="str">
        <f t="shared" si="31"/>
        <v>Hospital Provincial de Inhambane</v>
      </c>
      <c r="Q972" t="s">
        <v>24</v>
      </c>
      <c r="R972">
        <v>3</v>
      </c>
    </row>
    <row r="973" spans="1:18" x14ac:dyDescent="0.45">
      <c r="A973" t="s">
        <v>1058</v>
      </c>
      <c r="B973" s="3">
        <v>45387</v>
      </c>
      <c r="C973">
        <v>29</v>
      </c>
      <c r="D973" t="s">
        <v>20</v>
      </c>
      <c r="E973">
        <v>79.8</v>
      </c>
      <c r="F973">
        <v>146.1</v>
      </c>
      <c r="G973" s="4">
        <f t="shared" si="30"/>
        <v>37.385436826341845</v>
      </c>
      <c r="H973" t="s">
        <v>41</v>
      </c>
      <c r="I973" t="s">
        <v>161</v>
      </c>
      <c r="J973">
        <v>121</v>
      </c>
      <c r="K973">
        <v>79</v>
      </c>
      <c r="L973">
        <v>122</v>
      </c>
      <c r="M973">
        <v>2</v>
      </c>
      <c r="N973" s="5">
        <v>8148.1</v>
      </c>
      <c r="O973" t="s">
        <v>63</v>
      </c>
      <c r="P973" t="str">
        <f t="shared" si="31"/>
        <v>Hospital Central de Nampula</v>
      </c>
      <c r="Q973" t="s">
        <v>37</v>
      </c>
      <c r="R973">
        <v>1</v>
      </c>
    </row>
    <row r="974" spans="1:18" x14ac:dyDescent="0.45">
      <c r="A974" t="s">
        <v>1059</v>
      </c>
      <c r="B974" s="3">
        <v>44929</v>
      </c>
      <c r="C974">
        <v>50</v>
      </c>
      <c r="D974" t="s">
        <v>27</v>
      </c>
      <c r="E974">
        <v>57.8</v>
      </c>
      <c r="F974">
        <v>160</v>
      </c>
      <c r="G974" s="4">
        <f t="shared" si="30"/>
        <v>22.578124999999993</v>
      </c>
      <c r="H974" t="s">
        <v>55</v>
      </c>
      <c r="I974" t="s">
        <v>80</v>
      </c>
      <c r="J974">
        <v>121</v>
      </c>
      <c r="K974">
        <v>80</v>
      </c>
      <c r="L974">
        <v>87</v>
      </c>
      <c r="M974">
        <v>1</v>
      </c>
      <c r="N974" s="5">
        <v>6143.66</v>
      </c>
      <c r="O974" t="s">
        <v>63</v>
      </c>
      <c r="P974" t="str">
        <f t="shared" si="31"/>
        <v>Hospital Central de Nampula</v>
      </c>
      <c r="Q974" t="s">
        <v>24</v>
      </c>
      <c r="R974">
        <v>4</v>
      </c>
    </row>
    <row r="975" spans="1:18" x14ac:dyDescent="0.45">
      <c r="A975" t="s">
        <v>1060</v>
      </c>
      <c r="B975" s="3">
        <v>45034</v>
      </c>
      <c r="C975">
        <v>31</v>
      </c>
      <c r="D975" t="s">
        <v>27</v>
      </c>
      <c r="E975">
        <v>49.5</v>
      </c>
      <c r="F975">
        <v>161.80000000000001</v>
      </c>
      <c r="G975" s="4">
        <f t="shared" si="30"/>
        <v>18.908111923799162</v>
      </c>
      <c r="H975" t="s">
        <v>91</v>
      </c>
      <c r="I975" t="s">
        <v>110</v>
      </c>
      <c r="J975">
        <v>113</v>
      </c>
      <c r="K975">
        <v>66</v>
      </c>
      <c r="L975">
        <v>98</v>
      </c>
      <c r="M975">
        <v>3</v>
      </c>
      <c r="N975" s="5">
        <v>12325.91</v>
      </c>
      <c r="O975" t="s">
        <v>67</v>
      </c>
      <c r="P975" t="str">
        <f t="shared" si="31"/>
        <v>Hospital Provincial de Pemba</v>
      </c>
      <c r="Q975" t="s">
        <v>24</v>
      </c>
      <c r="R975">
        <v>4</v>
      </c>
    </row>
    <row r="976" spans="1:18" x14ac:dyDescent="0.45">
      <c r="A976" t="s">
        <v>1061</v>
      </c>
      <c r="B976" s="3">
        <v>45625</v>
      </c>
      <c r="C976">
        <v>17</v>
      </c>
      <c r="D976" t="s">
        <v>27</v>
      </c>
      <c r="E976">
        <v>69</v>
      </c>
      <c r="F976">
        <v>162.4</v>
      </c>
      <c r="G976" s="4">
        <f t="shared" si="30"/>
        <v>26.16236744400495</v>
      </c>
      <c r="H976" t="s">
        <v>28</v>
      </c>
      <c r="I976" t="s">
        <v>50</v>
      </c>
      <c r="J976">
        <v>85</v>
      </c>
      <c r="K976">
        <v>55</v>
      </c>
      <c r="L976">
        <v>84</v>
      </c>
      <c r="M976">
        <v>10</v>
      </c>
      <c r="N976" s="5">
        <v>31645.06</v>
      </c>
      <c r="O976" t="s">
        <v>67</v>
      </c>
      <c r="P976" t="str">
        <f t="shared" si="31"/>
        <v>Hospital Provincial de Pemba</v>
      </c>
      <c r="Q976" t="s">
        <v>24</v>
      </c>
      <c r="R976">
        <v>3</v>
      </c>
    </row>
    <row r="977" spans="1:18" x14ac:dyDescent="0.45">
      <c r="A977" t="s">
        <v>1062</v>
      </c>
      <c r="B977" s="3">
        <v>45482</v>
      </c>
      <c r="C977">
        <v>18</v>
      </c>
      <c r="D977" t="s">
        <v>27</v>
      </c>
      <c r="E977">
        <v>58</v>
      </c>
      <c r="F977">
        <v>155</v>
      </c>
      <c r="G977" s="4">
        <f t="shared" si="30"/>
        <v>24.141519250780433</v>
      </c>
      <c r="H977" t="s">
        <v>34</v>
      </c>
      <c r="I977" t="s">
        <v>126</v>
      </c>
      <c r="J977">
        <v>99</v>
      </c>
      <c r="K977">
        <v>55</v>
      </c>
      <c r="L977">
        <v>66</v>
      </c>
      <c r="M977">
        <v>3</v>
      </c>
      <c r="N977" s="5">
        <v>7324.09</v>
      </c>
      <c r="O977" t="s">
        <v>23</v>
      </c>
      <c r="P977" t="str">
        <f t="shared" si="31"/>
        <v>Hospital Central de Maputo</v>
      </c>
      <c r="Q977" t="s">
        <v>24</v>
      </c>
      <c r="R977">
        <v>4</v>
      </c>
    </row>
    <row r="978" spans="1:18" x14ac:dyDescent="0.45">
      <c r="A978" t="s">
        <v>1063</v>
      </c>
      <c r="B978" s="3">
        <v>45446</v>
      </c>
      <c r="C978">
        <v>38</v>
      </c>
      <c r="D978" t="s">
        <v>27</v>
      </c>
      <c r="E978">
        <v>86.8</v>
      </c>
      <c r="F978">
        <v>160.6</v>
      </c>
      <c r="G978" s="4">
        <f t="shared" si="30"/>
        <v>33.653376426197532</v>
      </c>
      <c r="H978" t="s">
        <v>34</v>
      </c>
      <c r="I978" t="s">
        <v>35</v>
      </c>
      <c r="J978">
        <v>130</v>
      </c>
      <c r="K978">
        <v>81</v>
      </c>
      <c r="L978">
        <v>112</v>
      </c>
      <c r="M978">
        <v>2</v>
      </c>
      <c r="N978" s="5">
        <v>6268.7</v>
      </c>
      <c r="O978" t="s">
        <v>36</v>
      </c>
      <c r="P978" t="str">
        <f t="shared" si="31"/>
        <v>Hospital Provincial de Lichinga</v>
      </c>
      <c r="Q978" t="s">
        <v>24</v>
      </c>
      <c r="R978">
        <v>5</v>
      </c>
    </row>
    <row r="979" spans="1:18" x14ac:dyDescent="0.45">
      <c r="A979" t="s">
        <v>1064</v>
      </c>
      <c r="B979" s="3">
        <v>45389</v>
      </c>
      <c r="C979">
        <v>58</v>
      </c>
      <c r="D979" t="s">
        <v>27</v>
      </c>
      <c r="E979">
        <v>49.2</v>
      </c>
      <c r="F979">
        <v>168.8</v>
      </c>
      <c r="G979" s="4">
        <f t="shared" si="30"/>
        <v>17.267132364502142</v>
      </c>
      <c r="H979" t="s">
        <v>91</v>
      </c>
      <c r="I979" t="s">
        <v>131</v>
      </c>
      <c r="J979">
        <v>123</v>
      </c>
      <c r="K979">
        <v>73</v>
      </c>
      <c r="L979">
        <v>98</v>
      </c>
      <c r="M979">
        <v>3</v>
      </c>
      <c r="N979" s="5">
        <v>11183.69</v>
      </c>
      <c r="O979" t="s">
        <v>51</v>
      </c>
      <c r="P979" t="str">
        <f t="shared" si="31"/>
        <v>Hospital Central de Quelimane</v>
      </c>
      <c r="Q979" t="s">
        <v>24</v>
      </c>
      <c r="R979">
        <v>5</v>
      </c>
    </row>
    <row r="980" spans="1:18" x14ac:dyDescent="0.45">
      <c r="A980" t="s">
        <v>1065</v>
      </c>
      <c r="B980" s="3">
        <v>45254</v>
      </c>
      <c r="C980">
        <v>37</v>
      </c>
      <c r="D980" t="s">
        <v>20</v>
      </c>
      <c r="E980">
        <v>63.8</v>
      </c>
      <c r="F980">
        <v>147.1</v>
      </c>
      <c r="G980" s="4">
        <f t="shared" si="30"/>
        <v>29.4846063088739</v>
      </c>
      <c r="H980" t="s">
        <v>41</v>
      </c>
      <c r="I980" t="s">
        <v>42</v>
      </c>
      <c r="J980">
        <v>114</v>
      </c>
      <c r="K980">
        <v>65</v>
      </c>
      <c r="L980">
        <v>68</v>
      </c>
      <c r="M980">
        <v>6</v>
      </c>
      <c r="N980" s="5">
        <v>13243.85</v>
      </c>
      <c r="O980" t="s">
        <v>63</v>
      </c>
      <c r="P980" t="str">
        <f t="shared" si="31"/>
        <v>Hospital Central de Nampula</v>
      </c>
      <c r="Q980" t="s">
        <v>24</v>
      </c>
      <c r="R980">
        <v>5</v>
      </c>
    </row>
    <row r="981" spans="1:18" x14ac:dyDescent="0.45">
      <c r="A981" t="s">
        <v>1066</v>
      </c>
      <c r="B981" s="3">
        <v>45326</v>
      </c>
      <c r="C981">
        <v>28</v>
      </c>
      <c r="D981" t="s">
        <v>27</v>
      </c>
      <c r="E981">
        <v>70.099999999999994</v>
      </c>
      <c r="F981">
        <v>171.7</v>
      </c>
      <c r="G981" s="4">
        <f t="shared" si="30"/>
        <v>23.778115246859915</v>
      </c>
      <c r="H981" t="s">
        <v>46</v>
      </c>
      <c r="I981" t="s">
        <v>47</v>
      </c>
      <c r="J981">
        <v>112</v>
      </c>
      <c r="K981">
        <v>68</v>
      </c>
      <c r="L981">
        <v>110</v>
      </c>
      <c r="M981">
        <v>6</v>
      </c>
      <c r="N981" s="5">
        <v>11889.36</v>
      </c>
      <c r="O981" t="s">
        <v>38</v>
      </c>
      <c r="P981" t="str">
        <f t="shared" si="31"/>
        <v>Hospital Provincial de Xai-Xai</v>
      </c>
      <c r="Q981" t="s">
        <v>202</v>
      </c>
      <c r="R981">
        <v>4</v>
      </c>
    </row>
    <row r="982" spans="1:18" x14ac:dyDescent="0.45">
      <c r="A982" t="s">
        <v>1067</v>
      </c>
      <c r="B982" s="3">
        <v>45534</v>
      </c>
      <c r="C982">
        <v>11</v>
      </c>
      <c r="D982" t="s">
        <v>27</v>
      </c>
      <c r="E982">
        <v>30.9</v>
      </c>
      <c r="F982">
        <v>112.1</v>
      </c>
      <c r="G982" s="4">
        <f t="shared" si="30"/>
        <v>24.589361639481762</v>
      </c>
      <c r="H982" t="s">
        <v>28</v>
      </c>
      <c r="I982" t="s">
        <v>50</v>
      </c>
      <c r="J982">
        <v>121</v>
      </c>
      <c r="K982">
        <v>72</v>
      </c>
      <c r="L982">
        <v>84</v>
      </c>
      <c r="M982">
        <v>6</v>
      </c>
      <c r="N982" s="5">
        <v>18147.07</v>
      </c>
      <c r="O982" t="s">
        <v>67</v>
      </c>
      <c r="P982" t="str">
        <f t="shared" si="31"/>
        <v>Hospital Provincial de Pemba</v>
      </c>
      <c r="Q982" t="s">
        <v>24</v>
      </c>
      <c r="R982">
        <v>5</v>
      </c>
    </row>
    <row r="983" spans="1:18" x14ac:dyDescent="0.45">
      <c r="A983" t="s">
        <v>1068</v>
      </c>
      <c r="B983" s="3">
        <v>45513</v>
      </c>
      <c r="C983">
        <v>18</v>
      </c>
      <c r="D983" t="s">
        <v>20</v>
      </c>
      <c r="E983">
        <v>82.2</v>
      </c>
      <c r="F983">
        <v>162.1</v>
      </c>
      <c r="G983" s="4">
        <f t="shared" si="30"/>
        <v>31.282812225871037</v>
      </c>
      <c r="H983" t="s">
        <v>91</v>
      </c>
      <c r="I983" t="s">
        <v>110</v>
      </c>
      <c r="J983">
        <v>113</v>
      </c>
      <c r="K983">
        <v>68</v>
      </c>
      <c r="L983">
        <v>89</v>
      </c>
      <c r="M983">
        <v>10</v>
      </c>
      <c r="N983" s="5">
        <v>16621.240000000002</v>
      </c>
      <c r="O983" t="s">
        <v>30</v>
      </c>
      <c r="P983" t="str">
        <f t="shared" si="31"/>
        <v>Hospital Provincial de Inhambane</v>
      </c>
      <c r="Q983" t="s">
        <v>76</v>
      </c>
      <c r="R983">
        <v>3</v>
      </c>
    </row>
    <row r="984" spans="1:18" x14ac:dyDescent="0.45">
      <c r="A984" t="s">
        <v>1069</v>
      </c>
      <c r="B984" s="3">
        <v>45530</v>
      </c>
      <c r="C984">
        <v>14</v>
      </c>
      <c r="D984" t="s">
        <v>27</v>
      </c>
      <c r="E984">
        <v>77.7</v>
      </c>
      <c r="F984">
        <v>156.19999999999999</v>
      </c>
      <c r="G984" s="4">
        <f t="shared" si="30"/>
        <v>31.846298369895788</v>
      </c>
      <c r="H984" t="s">
        <v>99</v>
      </c>
      <c r="I984" t="s">
        <v>103</v>
      </c>
      <c r="J984">
        <v>103</v>
      </c>
      <c r="K984">
        <v>61</v>
      </c>
      <c r="L984">
        <v>114</v>
      </c>
      <c r="M984">
        <v>1</v>
      </c>
      <c r="N984" s="5">
        <v>4279.03</v>
      </c>
      <c r="O984" t="s">
        <v>23</v>
      </c>
      <c r="P984" t="str">
        <f t="shared" si="31"/>
        <v>Hospital Central de Maputo</v>
      </c>
      <c r="Q984" t="s">
        <v>24</v>
      </c>
      <c r="R984">
        <v>4</v>
      </c>
    </row>
    <row r="985" spans="1:18" x14ac:dyDescent="0.45">
      <c r="A985" t="s">
        <v>1070</v>
      </c>
      <c r="B985" s="3">
        <v>45322</v>
      </c>
      <c r="C985">
        <v>18</v>
      </c>
      <c r="D985" t="s">
        <v>27</v>
      </c>
      <c r="E985">
        <v>43.3</v>
      </c>
      <c r="F985">
        <v>163.6</v>
      </c>
      <c r="G985" s="4">
        <f t="shared" si="30"/>
        <v>16.177868377161783</v>
      </c>
      <c r="H985" t="s">
        <v>21</v>
      </c>
      <c r="I985" t="s">
        <v>123</v>
      </c>
      <c r="J985">
        <v>105</v>
      </c>
      <c r="K985">
        <v>69</v>
      </c>
      <c r="L985">
        <v>103</v>
      </c>
      <c r="M985">
        <v>3</v>
      </c>
      <c r="N985" s="5">
        <v>12127.46</v>
      </c>
      <c r="O985" t="s">
        <v>63</v>
      </c>
      <c r="P985" t="str">
        <f t="shared" si="31"/>
        <v>Hospital Central de Nampula</v>
      </c>
      <c r="Q985" t="s">
        <v>24</v>
      </c>
      <c r="R985">
        <v>5</v>
      </c>
    </row>
    <row r="986" spans="1:18" x14ac:dyDescent="0.45">
      <c r="A986" t="s">
        <v>1071</v>
      </c>
      <c r="B986" s="3">
        <v>45419</v>
      </c>
      <c r="C986">
        <v>6</v>
      </c>
      <c r="D986" t="s">
        <v>27</v>
      </c>
      <c r="E986">
        <v>17.100000000000001</v>
      </c>
      <c r="F986">
        <v>106</v>
      </c>
      <c r="G986" s="4">
        <f t="shared" si="30"/>
        <v>15.218939124243501</v>
      </c>
      <c r="H986" t="s">
        <v>28</v>
      </c>
      <c r="I986" t="s">
        <v>50</v>
      </c>
      <c r="J986">
        <v>97</v>
      </c>
      <c r="K986">
        <v>71</v>
      </c>
      <c r="L986">
        <v>94</v>
      </c>
      <c r="M986">
        <v>1</v>
      </c>
      <c r="N986" s="5">
        <v>3215.7</v>
      </c>
      <c r="O986" t="s">
        <v>43</v>
      </c>
      <c r="P986" t="str">
        <f t="shared" si="31"/>
        <v>Hospital Central da Beira</v>
      </c>
      <c r="Q986" t="s">
        <v>24</v>
      </c>
      <c r="R986">
        <v>4</v>
      </c>
    </row>
    <row r="987" spans="1:18" x14ac:dyDescent="0.45">
      <c r="A987" t="s">
        <v>1072</v>
      </c>
      <c r="B987" s="3">
        <v>45036</v>
      </c>
      <c r="C987">
        <v>18</v>
      </c>
      <c r="D987" t="s">
        <v>20</v>
      </c>
      <c r="E987">
        <v>41.1</v>
      </c>
      <c r="F987">
        <v>177</v>
      </c>
      <c r="G987" s="4">
        <f t="shared" si="30"/>
        <v>13.118835583644547</v>
      </c>
      <c r="H987" t="s">
        <v>46</v>
      </c>
      <c r="I987" t="s">
        <v>66</v>
      </c>
      <c r="J987">
        <v>110</v>
      </c>
      <c r="K987">
        <v>63</v>
      </c>
      <c r="L987">
        <v>85</v>
      </c>
      <c r="M987">
        <v>2</v>
      </c>
      <c r="N987" s="5">
        <v>6459.13</v>
      </c>
      <c r="O987" t="s">
        <v>67</v>
      </c>
      <c r="P987" t="str">
        <f t="shared" si="31"/>
        <v>Hospital Provincial de Pemba</v>
      </c>
      <c r="Q987" t="s">
        <v>24</v>
      </c>
      <c r="R987">
        <v>5</v>
      </c>
    </row>
    <row r="988" spans="1:18" x14ac:dyDescent="0.45">
      <c r="A988" t="s">
        <v>1073</v>
      </c>
      <c r="B988" s="3">
        <v>45640</v>
      </c>
      <c r="C988">
        <v>2</v>
      </c>
      <c r="D988" t="s">
        <v>20</v>
      </c>
      <c r="E988">
        <v>17.8</v>
      </c>
      <c r="F988">
        <v>107.5</v>
      </c>
      <c r="G988" s="4">
        <f t="shared" si="30"/>
        <v>15.402920497566255</v>
      </c>
      <c r="H988" t="s">
        <v>28</v>
      </c>
      <c r="I988" t="s">
        <v>29</v>
      </c>
      <c r="J988">
        <v>89</v>
      </c>
      <c r="K988">
        <v>60</v>
      </c>
      <c r="L988">
        <v>113</v>
      </c>
      <c r="M988">
        <v>2</v>
      </c>
      <c r="N988" s="5">
        <v>6858.56</v>
      </c>
      <c r="O988" t="s">
        <v>63</v>
      </c>
      <c r="P988" t="str">
        <f t="shared" si="31"/>
        <v>Hospital Central de Nampula</v>
      </c>
      <c r="Q988" t="s">
        <v>24</v>
      </c>
      <c r="R988">
        <v>1</v>
      </c>
    </row>
    <row r="989" spans="1:18" x14ac:dyDescent="0.45">
      <c r="A989" t="s">
        <v>1074</v>
      </c>
      <c r="B989" s="3">
        <v>45296</v>
      </c>
      <c r="C989">
        <v>16</v>
      </c>
      <c r="D989" t="s">
        <v>20</v>
      </c>
      <c r="E989">
        <v>43.4</v>
      </c>
      <c r="F989">
        <v>162.80000000000001</v>
      </c>
      <c r="G989" s="4">
        <f t="shared" si="30"/>
        <v>16.374985662454947</v>
      </c>
      <c r="H989" t="s">
        <v>28</v>
      </c>
      <c r="I989" t="s">
        <v>50</v>
      </c>
      <c r="J989">
        <v>120</v>
      </c>
      <c r="K989">
        <v>81</v>
      </c>
      <c r="L989">
        <v>78</v>
      </c>
      <c r="M989">
        <v>9</v>
      </c>
      <c r="N989" s="5">
        <v>26050.14</v>
      </c>
      <c r="O989" t="s">
        <v>67</v>
      </c>
      <c r="P989" t="str">
        <f t="shared" si="31"/>
        <v>Hospital Provincial de Pemba</v>
      </c>
      <c r="Q989" t="s">
        <v>37</v>
      </c>
      <c r="R989">
        <v>4</v>
      </c>
    </row>
    <row r="990" spans="1:18" x14ac:dyDescent="0.45">
      <c r="A990" t="s">
        <v>1075</v>
      </c>
      <c r="B990" s="3">
        <v>45352</v>
      </c>
      <c r="C990">
        <v>31</v>
      </c>
      <c r="D990" t="s">
        <v>27</v>
      </c>
      <c r="E990">
        <v>53.1</v>
      </c>
      <c r="F990">
        <v>180.6</v>
      </c>
      <c r="G990" s="4">
        <f t="shared" si="30"/>
        <v>16.280173508018674</v>
      </c>
      <c r="H990" t="s">
        <v>55</v>
      </c>
      <c r="I990" t="s">
        <v>197</v>
      </c>
      <c r="J990">
        <v>112</v>
      </c>
      <c r="K990">
        <v>64</v>
      </c>
      <c r="L990">
        <v>114</v>
      </c>
      <c r="M990">
        <v>4</v>
      </c>
      <c r="N990" s="5">
        <v>11732.98</v>
      </c>
      <c r="O990" t="s">
        <v>57</v>
      </c>
      <c r="P990" t="str">
        <f t="shared" si="31"/>
        <v>Hospital Provincial de Tete</v>
      </c>
      <c r="Q990" t="s">
        <v>76</v>
      </c>
      <c r="R990">
        <v>5</v>
      </c>
    </row>
    <row r="991" spans="1:18" x14ac:dyDescent="0.45">
      <c r="A991" t="s">
        <v>1076</v>
      </c>
      <c r="B991" s="3">
        <v>45251</v>
      </c>
      <c r="C991">
        <v>4</v>
      </c>
      <c r="D991" t="s">
        <v>27</v>
      </c>
      <c r="E991">
        <v>18.3</v>
      </c>
      <c r="F991">
        <v>155.9</v>
      </c>
      <c r="G991" s="4">
        <f t="shared" si="30"/>
        <v>7.5293738153065171</v>
      </c>
      <c r="H991" t="s">
        <v>28</v>
      </c>
      <c r="I991" t="s">
        <v>50</v>
      </c>
      <c r="J991">
        <v>123</v>
      </c>
      <c r="K991">
        <v>74</v>
      </c>
      <c r="L991">
        <v>71</v>
      </c>
      <c r="M991">
        <v>1</v>
      </c>
      <c r="N991" s="5">
        <v>6193.05</v>
      </c>
      <c r="O991" t="s">
        <v>23</v>
      </c>
      <c r="P991" t="str">
        <f t="shared" si="31"/>
        <v>Hospital Central de Maputo</v>
      </c>
      <c r="Q991" t="s">
        <v>37</v>
      </c>
      <c r="R991">
        <v>4</v>
      </c>
    </row>
    <row r="992" spans="1:18" x14ac:dyDescent="0.45">
      <c r="A992" t="s">
        <v>1077</v>
      </c>
      <c r="B992" s="3">
        <v>45162</v>
      </c>
      <c r="C992">
        <v>44</v>
      </c>
      <c r="D992" t="s">
        <v>20</v>
      </c>
      <c r="E992">
        <v>82</v>
      </c>
      <c r="F992">
        <v>175.5</v>
      </c>
      <c r="G992" s="4">
        <f t="shared" si="30"/>
        <v>26.623160526294434</v>
      </c>
      <c r="H992" t="s">
        <v>21</v>
      </c>
      <c r="I992" t="s">
        <v>70</v>
      </c>
      <c r="J992">
        <v>134</v>
      </c>
      <c r="K992">
        <v>75</v>
      </c>
      <c r="L992">
        <v>111</v>
      </c>
      <c r="M992">
        <v>1</v>
      </c>
      <c r="N992" s="5">
        <v>2566.59</v>
      </c>
      <c r="O992" t="s">
        <v>23</v>
      </c>
      <c r="P992" t="str">
        <f t="shared" si="31"/>
        <v>Hospital Central de Maputo</v>
      </c>
      <c r="Q992" t="s">
        <v>24</v>
      </c>
      <c r="R992">
        <v>4</v>
      </c>
    </row>
    <row r="993" spans="1:18" x14ac:dyDescent="0.45">
      <c r="A993" t="s">
        <v>1078</v>
      </c>
      <c r="B993" s="3">
        <v>45495</v>
      </c>
      <c r="C993">
        <v>18</v>
      </c>
      <c r="D993" t="s">
        <v>20</v>
      </c>
      <c r="E993">
        <v>86.1</v>
      </c>
      <c r="F993">
        <v>157.19999999999999</v>
      </c>
      <c r="G993" s="4">
        <f t="shared" si="30"/>
        <v>34.841598197463242</v>
      </c>
      <c r="H993" t="s">
        <v>46</v>
      </c>
      <c r="I993" t="s">
        <v>108</v>
      </c>
      <c r="J993">
        <v>95</v>
      </c>
      <c r="K993">
        <v>57</v>
      </c>
      <c r="L993">
        <v>65</v>
      </c>
      <c r="M993">
        <v>2</v>
      </c>
      <c r="N993" s="5">
        <v>7334.15</v>
      </c>
      <c r="O993" t="s">
        <v>36</v>
      </c>
      <c r="P993" t="str">
        <f t="shared" si="31"/>
        <v>Hospital Provincial de Lichinga</v>
      </c>
      <c r="Q993" t="s">
        <v>24</v>
      </c>
      <c r="R993">
        <v>4</v>
      </c>
    </row>
    <row r="994" spans="1:18" x14ac:dyDescent="0.45">
      <c r="A994" t="s">
        <v>1079</v>
      </c>
      <c r="B994" s="3">
        <v>45579</v>
      </c>
      <c r="C994">
        <v>18</v>
      </c>
      <c r="D994" t="s">
        <v>27</v>
      </c>
      <c r="E994">
        <v>58.6</v>
      </c>
      <c r="F994">
        <v>159.80000000000001</v>
      </c>
      <c r="G994" s="4">
        <f t="shared" si="30"/>
        <v>22.947959041417537</v>
      </c>
      <c r="H994" t="s">
        <v>46</v>
      </c>
      <c r="I994" t="s">
        <v>108</v>
      </c>
      <c r="J994">
        <v>118</v>
      </c>
      <c r="K994">
        <v>73</v>
      </c>
      <c r="L994">
        <v>65</v>
      </c>
      <c r="M994">
        <v>1</v>
      </c>
      <c r="N994" s="5">
        <v>2996.69</v>
      </c>
      <c r="O994" t="s">
        <v>67</v>
      </c>
      <c r="P994" t="str">
        <f t="shared" si="31"/>
        <v>Hospital Provincial de Pemba</v>
      </c>
      <c r="Q994" t="s">
        <v>24</v>
      </c>
      <c r="R994">
        <v>5</v>
      </c>
    </row>
    <row r="995" spans="1:18" x14ac:dyDescent="0.45">
      <c r="A995" t="s">
        <v>1080</v>
      </c>
      <c r="B995" s="3">
        <v>45104</v>
      </c>
      <c r="C995">
        <v>35</v>
      </c>
      <c r="D995" t="s">
        <v>20</v>
      </c>
      <c r="E995">
        <v>58.7</v>
      </c>
      <c r="F995">
        <v>165.4</v>
      </c>
      <c r="G995" s="4">
        <f t="shared" si="30"/>
        <v>21.456905614471676</v>
      </c>
      <c r="H995" t="s">
        <v>46</v>
      </c>
      <c r="I995" t="s">
        <v>94</v>
      </c>
      <c r="J995">
        <v>94</v>
      </c>
      <c r="K995">
        <v>55</v>
      </c>
      <c r="L995">
        <v>74</v>
      </c>
      <c r="M995">
        <v>3</v>
      </c>
      <c r="N995" s="5">
        <v>5995.71</v>
      </c>
      <c r="O995" t="s">
        <v>63</v>
      </c>
      <c r="P995" t="str">
        <f t="shared" si="31"/>
        <v>Hospital Central de Nampula</v>
      </c>
      <c r="Q995" t="s">
        <v>24</v>
      </c>
      <c r="R995">
        <v>4</v>
      </c>
    </row>
    <row r="996" spans="1:18" x14ac:dyDescent="0.45">
      <c r="A996" t="s">
        <v>1081</v>
      </c>
      <c r="B996" s="3">
        <v>45428</v>
      </c>
      <c r="C996">
        <v>17</v>
      </c>
      <c r="D996" t="s">
        <v>20</v>
      </c>
      <c r="E996">
        <v>55.7</v>
      </c>
      <c r="F996">
        <v>153</v>
      </c>
      <c r="G996" s="4">
        <f t="shared" si="30"/>
        <v>23.794267162202573</v>
      </c>
      <c r="H996" t="s">
        <v>28</v>
      </c>
      <c r="I996" t="s">
        <v>73</v>
      </c>
      <c r="J996">
        <v>119</v>
      </c>
      <c r="K996">
        <v>74</v>
      </c>
      <c r="L996">
        <v>69</v>
      </c>
      <c r="M996">
        <v>4</v>
      </c>
      <c r="N996" s="5">
        <v>10867.96</v>
      </c>
      <c r="O996" t="s">
        <v>31</v>
      </c>
      <c r="P996" t="str">
        <f t="shared" si="31"/>
        <v>Hospital Provincial da Matola</v>
      </c>
      <c r="Q996" t="s">
        <v>24</v>
      </c>
      <c r="R996">
        <v>4</v>
      </c>
    </row>
    <row r="997" spans="1:18" x14ac:dyDescent="0.45">
      <c r="A997" t="s">
        <v>1082</v>
      </c>
      <c r="B997" s="3">
        <v>45193</v>
      </c>
      <c r="C997">
        <v>37</v>
      </c>
      <c r="D997" t="s">
        <v>27</v>
      </c>
      <c r="E997">
        <v>82.6</v>
      </c>
      <c r="F997">
        <v>167.8</v>
      </c>
      <c r="G997" s="4">
        <f t="shared" si="30"/>
        <v>29.335678293444854</v>
      </c>
      <c r="H997" t="s">
        <v>55</v>
      </c>
      <c r="I997" t="s">
        <v>197</v>
      </c>
      <c r="J997">
        <v>93</v>
      </c>
      <c r="K997">
        <v>55</v>
      </c>
      <c r="L997">
        <v>111</v>
      </c>
      <c r="M997">
        <v>2</v>
      </c>
      <c r="N997" s="5">
        <v>9543.7099999999991</v>
      </c>
      <c r="O997" t="s">
        <v>43</v>
      </c>
      <c r="P997" t="str">
        <f t="shared" si="31"/>
        <v>Hospital Central da Beira</v>
      </c>
      <c r="Q997" t="s">
        <v>37</v>
      </c>
      <c r="R997">
        <v>4</v>
      </c>
    </row>
    <row r="998" spans="1:18" x14ac:dyDescent="0.45">
      <c r="A998" t="s">
        <v>1083</v>
      </c>
      <c r="B998" s="3">
        <v>45031</v>
      </c>
      <c r="C998">
        <v>56</v>
      </c>
      <c r="D998" t="s">
        <v>27</v>
      </c>
      <c r="E998">
        <v>59.4</v>
      </c>
      <c r="F998">
        <v>152.5</v>
      </c>
      <c r="G998" s="4">
        <f t="shared" si="30"/>
        <v>25.541521096479446</v>
      </c>
      <c r="H998" t="s">
        <v>21</v>
      </c>
      <c r="I998" t="s">
        <v>22</v>
      </c>
      <c r="J998">
        <v>141</v>
      </c>
      <c r="K998">
        <v>83</v>
      </c>
      <c r="L998">
        <v>94</v>
      </c>
      <c r="M998">
        <v>2</v>
      </c>
      <c r="N998" s="5">
        <v>6372.63</v>
      </c>
      <c r="O998" t="s">
        <v>57</v>
      </c>
      <c r="P998" t="str">
        <f t="shared" si="31"/>
        <v>Hospital Provincial de Tete</v>
      </c>
      <c r="Q998" t="s">
        <v>24</v>
      </c>
      <c r="R998">
        <v>3</v>
      </c>
    </row>
    <row r="999" spans="1:18" x14ac:dyDescent="0.45">
      <c r="A999" t="s">
        <v>1084</v>
      </c>
      <c r="B999" s="3">
        <v>44956</v>
      </c>
      <c r="C999">
        <v>4</v>
      </c>
      <c r="D999" t="s">
        <v>27</v>
      </c>
      <c r="E999">
        <v>3.4</v>
      </c>
      <c r="F999">
        <v>102.2</v>
      </c>
      <c r="G999" s="4">
        <f t="shared" si="30"/>
        <v>3.2551958670501415</v>
      </c>
      <c r="H999" t="s">
        <v>28</v>
      </c>
      <c r="I999" t="s">
        <v>75</v>
      </c>
      <c r="J999">
        <v>120</v>
      </c>
      <c r="K999">
        <v>71</v>
      </c>
      <c r="L999">
        <v>94</v>
      </c>
      <c r="M999">
        <v>3</v>
      </c>
      <c r="N999" s="5">
        <v>8450.91</v>
      </c>
      <c r="O999" t="s">
        <v>52</v>
      </c>
      <c r="P999" t="str">
        <f t="shared" si="31"/>
        <v>Hospital Provincial de Chimoio</v>
      </c>
      <c r="Q999" t="s">
        <v>24</v>
      </c>
      <c r="R999">
        <v>3</v>
      </c>
    </row>
    <row r="1000" spans="1:18" x14ac:dyDescent="0.45">
      <c r="A1000" t="s">
        <v>1085</v>
      </c>
      <c r="B1000" s="3">
        <v>45595</v>
      </c>
      <c r="C1000">
        <v>18</v>
      </c>
      <c r="D1000" t="s">
        <v>27</v>
      </c>
      <c r="E1000">
        <v>41.1</v>
      </c>
      <c r="F1000">
        <v>167.3</v>
      </c>
      <c r="G1000" s="4">
        <f t="shared" si="30"/>
        <v>14.684188130531355</v>
      </c>
      <c r="H1000" t="s">
        <v>46</v>
      </c>
      <c r="I1000" t="s">
        <v>94</v>
      </c>
      <c r="J1000">
        <v>96</v>
      </c>
      <c r="K1000">
        <v>58</v>
      </c>
      <c r="L1000">
        <v>100</v>
      </c>
      <c r="M1000">
        <v>1</v>
      </c>
      <c r="N1000" s="5">
        <v>4602.3900000000003</v>
      </c>
      <c r="O1000" t="s">
        <v>51</v>
      </c>
      <c r="P1000" t="str">
        <f t="shared" si="31"/>
        <v>Hospital Central de Quelimane</v>
      </c>
      <c r="Q1000" t="s">
        <v>24</v>
      </c>
      <c r="R1000">
        <v>3</v>
      </c>
    </row>
    <row r="1001" spans="1:18" x14ac:dyDescent="0.45">
      <c r="A1001" t="s">
        <v>1086</v>
      </c>
      <c r="B1001" s="3">
        <v>45329</v>
      </c>
      <c r="C1001">
        <v>0</v>
      </c>
      <c r="D1001" t="s">
        <v>27</v>
      </c>
      <c r="E1001">
        <v>23.5</v>
      </c>
      <c r="F1001">
        <v>98</v>
      </c>
      <c r="G1001" s="4">
        <f t="shared" si="30"/>
        <v>24.468971261974179</v>
      </c>
      <c r="H1001" t="s">
        <v>28</v>
      </c>
      <c r="I1001" t="s">
        <v>50</v>
      </c>
      <c r="J1001">
        <v>109</v>
      </c>
      <c r="K1001">
        <v>71</v>
      </c>
      <c r="L1001">
        <v>65</v>
      </c>
      <c r="M1001">
        <v>3</v>
      </c>
      <c r="N1001" s="5">
        <v>8862.1299999999992</v>
      </c>
      <c r="O1001" t="s">
        <v>43</v>
      </c>
      <c r="P1001" t="str">
        <f t="shared" si="31"/>
        <v>Hospital Central da Beira</v>
      </c>
      <c r="Q1001" t="s">
        <v>37</v>
      </c>
      <c r="R1001">
        <v>5</v>
      </c>
    </row>
    <row r="1002" spans="1:18" x14ac:dyDescent="0.45">
      <c r="A1002" t="s">
        <v>1087</v>
      </c>
      <c r="B1002" s="3">
        <v>45376</v>
      </c>
      <c r="C1002">
        <v>5</v>
      </c>
      <c r="D1002" t="s">
        <v>20</v>
      </c>
      <c r="E1002">
        <v>25.4</v>
      </c>
      <c r="F1002">
        <v>112.3</v>
      </c>
      <c r="G1002" s="4">
        <f t="shared" si="30"/>
        <v>20.14068346695699</v>
      </c>
      <c r="H1002" t="s">
        <v>28</v>
      </c>
      <c r="I1002" t="s">
        <v>73</v>
      </c>
      <c r="J1002">
        <v>102</v>
      </c>
      <c r="K1002">
        <v>76</v>
      </c>
      <c r="L1002">
        <v>65</v>
      </c>
      <c r="M1002">
        <v>2</v>
      </c>
      <c r="N1002" s="5">
        <v>4437.58</v>
      </c>
      <c r="O1002" t="s">
        <v>63</v>
      </c>
      <c r="P1002" t="str">
        <f t="shared" si="31"/>
        <v>Hospital Central de Nampula</v>
      </c>
      <c r="Q1002" t="s">
        <v>24</v>
      </c>
      <c r="R1002">
        <v>4</v>
      </c>
    </row>
    <row r="1003" spans="1:18" x14ac:dyDescent="0.45">
      <c r="A1003" t="s">
        <v>1088</v>
      </c>
      <c r="B1003" s="3">
        <v>45498</v>
      </c>
      <c r="C1003">
        <v>0</v>
      </c>
      <c r="D1003" t="s">
        <v>20</v>
      </c>
      <c r="E1003">
        <v>30.3</v>
      </c>
      <c r="F1003">
        <v>110.8</v>
      </c>
      <c r="G1003" s="4">
        <f t="shared" si="30"/>
        <v>24.681020213999929</v>
      </c>
      <c r="H1003" t="s">
        <v>28</v>
      </c>
      <c r="I1003" t="s">
        <v>29</v>
      </c>
      <c r="J1003">
        <v>108</v>
      </c>
      <c r="K1003">
        <v>65</v>
      </c>
      <c r="L1003">
        <v>65</v>
      </c>
      <c r="M1003">
        <v>1</v>
      </c>
      <c r="N1003" s="5">
        <v>2050.15</v>
      </c>
      <c r="O1003" t="s">
        <v>23</v>
      </c>
      <c r="P1003" t="str">
        <f t="shared" si="31"/>
        <v>Hospital Central de Maputo</v>
      </c>
      <c r="Q1003" t="s">
        <v>24</v>
      </c>
      <c r="R1003">
        <v>4</v>
      </c>
    </row>
    <row r="1004" spans="1:18" x14ac:dyDescent="0.45">
      <c r="A1004" t="s">
        <v>1089</v>
      </c>
      <c r="B1004" s="3">
        <v>45629</v>
      </c>
      <c r="C1004">
        <v>18</v>
      </c>
      <c r="D1004" t="s">
        <v>27</v>
      </c>
      <c r="E1004">
        <v>56.5</v>
      </c>
      <c r="F1004">
        <v>162.6</v>
      </c>
      <c r="G1004" s="4">
        <f t="shared" si="30"/>
        <v>21.370139900661002</v>
      </c>
      <c r="H1004" t="s">
        <v>41</v>
      </c>
      <c r="I1004" t="s">
        <v>42</v>
      </c>
      <c r="J1004">
        <v>90</v>
      </c>
      <c r="K1004">
        <v>55</v>
      </c>
      <c r="L1004">
        <v>65</v>
      </c>
      <c r="M1004">
        <v>4</v>
      </c>
      <c r="N1004" s="5">
        <v>8221.82</v>
      </c>
      <c r="O1004" t="s">
        <v>52</v>
      </c>
      <c r="P1004" t="str">
        <f t="shared" si="31"/>
        <v>Hospital Provincial de Chimoio</v>
      </c>
      <c r="Q1004" t="s">
        <v>202</v>
      </c>
      <c r="R1004">
        <v>5</v>
      </c>
    </row>
    <row r="1005" spans="1:18" x14ac:dyDescent="0.45">
      <c r="A1005" t="s">
        <v>1090</v>
      </c>
      <c r="B1005" s="3">
        <v>44968</v>
      </c>
      <c r="C1005">
        <v>50</v>
      </c>
      <c r="D1005" t="s">
        <v>20</v>
      </c>
      <c r="E1005">
        <v>50.5</v>
      </c>
      <c r="F1005">
        <v>162.1</v>
      </c>
      <c r="G1005" s="4">
        <f t="shared" si="30"/>
        <v>19.218759335845345</v>
      </c>
      <c r="H1005" t="s">
        <v>21</v>
      </c>
      <c r="I1005" t="s">
        <v>89</v>
      </c>
      <c r="J1005">
        <v>127</v>
      </c>
      <c r="K1005">
        <v>83</v>
      </c>
      <c r="L1005">
        <v>72</v>
      </c>
      <c r="M1005">
        <v>1</v>
      </c>
      <c r="N1005" s="5">
        <v>4241.8100000000004</v>
      </c>
      <c r="O1005" t="s">
        <v>31</v>
      </c>
      <c r="P1005" t="str">
        <f t="shared" si="31"/>
        <v>Hospital Provincial da Matola</v>
      </c>
      <c r="Q1005" t="s">
        <v>24</v>
      </c>
      <c r="R1005">
        <v>5</v>
      </c>
    </row>
    <row r="1006" spans="1:18" x14ac:dyDescent="0.45">
      <c r="A1006" t="s">
        <v>1091</v>
      </c>
      <c r="B1006" s="3">
        <v>45022</v>
      </c>
      <c r="C1006">
        <v>31</v>
      </c>
      <c r="D1006" t="s">
        <v>20</v>
      </c>
      <c r="E1006">
        <v>61.3</v>
      </c>
      <c r="F1006">
        <v>158.69999999999999</v>
      </c>
      <c r="G1006" s="4">
        <f t="shared" si="30"/>
        <v>24.339218024203426</v>
      </c>
      <c r="H1006" t="s">
        <v>46</v>
      </c>
      <c r="I1006" t="s">
        <v>108</v>
      </c>
      <c r="J1006">
        <v>107</v>
      </c>
      <c r="K1006">
        <v>67</v>
      </c>
      <c r="L1006">
        <v>102</v>
      </c>
      <c r="M1006">
        <v>8</v>
      </c>
      <c r="N1006" s="5">
        <v>17385.14</v>
      </c>
      <c r="O1006" t="s">
        <v>63</v>
      </c>
      <c r="P1006" t="str">
        <f t="shared" si="31"/>
        <v>Hospital Central de Nampula</v>
      </c>
      <c r="Q1006" t="s">
        <v>37</v>
      </c>
      <c r="R1006">
        <v>4</v>
      </c>
    </row>
    <row r="1007" spans="1:18" x14ac:dyDescent="0.45">
      <c r="A1007" t="s">
        <v>1092</v>
      </c>
      <c r="B1007" s="3">
        <v>45408</v>
      </c>
      <c r="C1007">
        <v>15</v>
      </c>
      <c r="D1007" t="s">
        <v>20</v>
      </c>
      <c r="E1007">
        <v>60.3</v>
      </c>
      <c r="F1007">
        <v>159.5</v>
      </c>
      <c r="G1007" s="4">
        <f t="shared" si="30"/>
        <v>23.702597262212439</v>
      </c>
      <c r="H1007" t="s">
        <v>28</v>
      </c>
      <c r="I1007" t="s">
        <v>29</v>
      </c>
      <c r="J1007">
        <v>92</v>
      </c>
      <c r="K1007">
        <v>62</v>
      </c>
      <c r="L1007">
        <v>86</v>
      </c>
      <c r="M1007">
        <v>1</v>
      </c>
      <c r="N1007" s="5">
        <v>6357.84</v>
      </c>
      <c r="O1007" t="s">
        <v>36</v>
      </c>
      <c r="P1007" t="str">
        <f t="shared" si="31"/>
        <v>Hospital Provincial de Lichinga</v>
      </c>
      <c r="Q1007" t="s">
        <v>24</v>
      </c>
      <c r="R1007">
        <v>5</v>
      </c>
    </row>
    <row r="1008" spans="1:18" x14ac:dyDescent="0.45">
      <c r="A1008" t="s">
        <v>1093</v>
      </c>
      <c r="B1008" s="3">
        <v>45069</v>
      </c>
      <c r="C1008">
        <v>29</v>
      </c>
      <c r="D1008" t="s">
        <v>20</v>
      </c>
      <c r="E1008">
        <v>71.8</v>
      </c>
      <c r="F1008">
        <v>169.6</v>
      </c>
      <c r="G1008" s="4">
        <f t="shared" si="30"/>
        <v>24.961618903524386</v>
      </c>
      <c r="H1008" t="s">
        <v>21</v>
      </c>
      <c r="I1008" t="s">
        <v>22</v>
      </c>
      <c r="J1008">
        <v>157</v>
      </c>
      <c r="K1008">
        <v>105</v>
      </c>
      <c r="L1008">
        <v>112</v>
      </c>
      <c r="M1008">
        <v>1</v>
      </c>
      <c r="N1008" s="5">
        <v>2875.88</v>
      </c>
      <c r="O1008" t="s">
        <v>51</v>
      </c>
      <c r="P1008" t="str">
        <f t="shared" si="31"/>
        <v>Hospital Central de Quelimane</v>
      </c>
      <c r="Q1008" t="s">
        <v>24</v>
      </c>
      <c r="R1008">
        <v>4</v>
      </c>
    </row>
    <row r="1009" spans="1:18" x14ac:dyDescent="0.45">
      <c r="A1009" t="s">
        <v>1094</v>
      </c>
      <c r="B1009" s="3">
        <v>45181</v>
      </c>
      <c r="C1009">
        <v>44</v>
      </c>
      <c r="D1009" t="s">
        <v>20</v>
      </c>
      <c r="E1009">
        <v>67.599999999999994</v>
      </c>
      <c r="F1009">
        <v>174.4</v>
      </c>
      <c r="G1009" s="4">
        <f t="shared" si="30"/>
        <v>22.225612322195101</v>
      </c>
      <c r="H1009" t="s">
        <v>34</v>
      </c>
      <c r="I1009" t="s">
        <v>138</v>
      </c>
      <c r="J1009">
        <v>107</v>
      </c>
      <c r="K1009">
        <v>68</v>
      </c>
      <c r="L1009">
        <v>65</v>
      </c>
      <c r="M1009">
        <v>2</v>
      </c>
      <c r="N1009" s="5">
        <v>8948.52</v>
      </c>
      <c r="O1009" t="s">
        <v>63</v>
      </c>
      <c r="P1009" t="str">
        <f t="shared" si="31"/>
        <v>Hospital Central de Nampula</v>
      </c>
      <c r="Q1009" t="s">
        <v>24</v>
      </c>
      <c r="R1009">
        <v>5</v>
      </c>
    </row>
    <row r="1010" spans="1:18" x14ac:dyDescent="0.45">
      <c r="A1010" t="s">
        <v>1095</v>
      </c>
      <c r="B1010" s="3">
        <v>45215</v>
      </c>
      <c r="C1010">
        <v>32</v>
      </c>
      <c r="D1010" t="s">
        <v>20</v>
      </c>
      <c r="E1010">
        <v>66.2</v>
      </c>
      <c r="F1010">
        <v>174.4</v>
      </c>
      <c r="G1010" s="4">
        <f t="shared" si="30"/>
        <v>21.765318575877455</v>
      </c>
      <c r="H1010" t="s">
        <v>21</v>
      </c>
      <c r="I1010" t="s">
        <v>123</v>
      </c>
      <c r="J1010">
        <v>101</v>
      </c>
      <c r="K1010">
        <v>67</v>
      </c>
      <c r="L1010">
        <v>120</v>
      </c>
      <c r="M1010">
        <v>3</v>
      </c>
      <c r="N1010" s="5">
        <v>5971.18</v>
      </c>
      <c r="O1010" t="s">
        <v>57</v>
      </c>
      <c r="P1010" t="str">
        <f t="shared" si="31"/>
        <v>Hospital Provincial de Tete</v>
      </c>
      <c r="Q1010" t="s">
        <v>24</v>
      </c>
      <c r="R1010">
        <v>1</v>
      </c>
    </row>
    <row r="1011" spans="1:18" x14ac:dyDescent="0.45">
      <c r="A1011" t="s">
        <v>1096</v>
      </c>
      <c r="B1011" s="3">
        <v>45532</v>
      </c>
      <c r="C1011">
        <v>22</v>
      </c>
      <c r="D1011" t="s">
        <v>20</v>
      </c>
      <c r="E1011">
        <v>63.6</v>
      </c>
      <c r="F1011">
        <v>171.3</v>
      </c>
      <c r="G1011" s="4">
        <f t="shared" si="30"/>
        <v>21.674165723533747</v>
      </c>
      <c r="H1011" t="s">
        <v>46</v>
      </c>
      <c r="I1011" t="s">
        <v>108</v>
      </c>
      <c r="J1011">
        <v>93</v>
      </c>
      <c r="K1011">
        <v>64</v>
      </c>
      <c r="L1011">
        <v>99</v>
      </c>
      <c r="M1011">
        <v>1</v>
      </c>
      <c r="N1011" s="5">
        <v>5859.2</v>
      </c>
      <c r="O1011" t="s">
        <v>57</v>
      </c>
      <c r="P1011" t="str">
        <f t="shared" si="31"/>
        <v>Hospital Provincial de Tete</v>
      </c>
      <c r="Q1011" t="s">
        <v>24</v>
      </c>
      <c r="R1011">
        <v>5</v>
      </c>
    </row>
    <row r="1012" spans="1:18" x14ac:dyDescent="0.45">
      <c r="A1012" t="s">
        <v>1097</v>
      </c>
      <c r="B1012" s="3">
        <v>45524</v>
      </c>
      <c r="C1012">
        <v>14</v>
      </c>
      <c r="D1012" t="s">
        <v>27</v>
      </c>
      <c r="E1012">
        <v>77.099999999999994</v>
      </c>
      <c r="F1012">
        <v>164.3</v>
      </c>
      <c r="G1012" s="4">
        <f t="shared" si="30"/>
        <v>28.561384193589134</v>
      </c>
      <c r="H1012" t="s">
        <v>99</v>
      </c>
      <c r="I1012" t="s">
        <v>105</v>
      </c>
      <c r="J1012">
        <v>110</v>
      </c>
      <c r="K1012">
        <v>71</v>
      </c>
      <c r="L1012">
        <v>108</v>
      </c>
      <c r="M1012">
        <v>3</v>
      </c>
      <c r="N1012" s="5">
        <v>8336.82</v>
      </c>
      <c r="O1012" t="s">
        <v>23</v>
      </c>
      <c r="P1012" t="str">
        <f t="shared" si="31"/>
        <v>Hospital Central de Maputo</v>
      </c>
      <c r="Q1012" t="s">
        <v>37</v>
      </c>
      <c r="R1012">
        <v>3</v>
      </c>
    </row>
    <row r="1013" spans="1:18" x14ac:dyDescent="0.45">
      <c r="A1013" t="s">
        <v>1098</v>
      </c>
      <c r="B1013" s="3">
        <v>45003</v>
      </c>
      <c r="C1013">
        <v>29</v>
      </c>
      <c r="D1013" t="s">
        <v>20</v>
      </c>
      <c r="E1013">
        <v>58.7</v>
      </c>
      <c r="F1013">
        <v>171.5</v>
      </c>
      <c r="G1013" s="4">
        <f t="shared" si="30"/>
        <v>19.957670698433475</v>
      </c>
      <c r="H1013" t="s">
        <v>21</v>
      </c>
      <c r="I1013" t="s">
        <v>89</v>
      </c>
      <c r="J1013">
        <v>131</v>
      </c>
      <c r="K1013">
        <v>83</v>
      </c>
      <c r="L1013">
        <v>91</v>
      </c>
      <c r="M1013">
        <v>1</v>
      </c>
      <c r="N1013" s="5">
        <v>3068.56</v>
      </c>
      <c r="O1013" t="s">
        <v>51</v>
      </c>
      <c r="P1013" t="str">
        <f t="shared" si="31"/>
        <v>Hospital Central de Quelimane</v>
      </c>
      <c r="Q1013" t="s">
        <v>76</v>
      </c>
      <c r="R1013">
        <v>4</v>
      </c>
    </row>
    <row r="1014" spans="1:18" x14ac:dyDescent="0.45">
      <c r="A1014" t="s">
        <v>1099</v>
      </c>
      <c r="B1014" s="3">
        <v>45531</v>
      </c>
      <c r="C1014">
        <v>57</v>
      </c>
      <c r="D1014" t="s">
        <v>20</v>
      </c>
      <c r="E1014">
        <v>71</v>
      </c>
      <c r="F1014">
        <v>168.1</v>
      </c>
      <c r="G1014" s="4">
        <f t="shared" si="30"/>
        <v>25.1259749143682</v>
      </c>
      <c r="H1014" t="s">
        <v>91</v>
      </c>
      <c r="I1014" t="s">
        <v>110</v>
      </c>
      <c r="J1014">
        <v>107</v>
      </c>
      <c r="K1014">
        <v>55</v>
      </c>
      <c r="L1014">
        <v>84</v>
      </c>
      <c r="M1014">
        <v>7</v>
      </c>
      <c r="N1014" s="5">
        <v>22348.85</v>
      </c>
      <c r="O1014" t="s">
        <v>51</v>
      </c>
      <c r="P1014" t="str">
        <f t="shared" si="31"/>
        <v>Hospital Central de Quelimane</v>
      </c>
      <c r="Q1014" t="s">
        <v>24</v>
      </c>
      <c r="R1014">
        <v>5</v>
      </c>
    </row>
    <row r="1015" spans="1:18" x14ac:dyDescent="0.45">
      <c r="A1015" t="s">
        <v>1100</v>
      </c>
      <c r="B1015" s="3">
        <v>45219</v>
      </c>
      <c r="C1015">
        <v>3</v>
      </c>
      <c r="D1015" t="s">
        <v>20</v>
      </c>
      <c r="E1015">
        <v>7.7</v>
      </c>
      <c r="F1015">
        <v>120.6</v>
      </c>
      <c r="G1015" s="4">
        <f t="shared" si="30"/>
        <v>5.2941483846659469</v>
      </c>
      <c r="H1015" t="s">
        <v>28</v>
      </c>
      <c r="I1015" t="s">
        <v>29</v>
      </c>
      <c r="J1015">
        <v>85</v>
      </c>
      <c r="K1015">
        <v>55</v>
      </c>
      <c r="L1015">
        <v>98</v>
      </c>
      <c r="M1015">
        <v>9</v>
      </c>
      <c r="N1015" s="5">
        <v>23087.22</v>
      </c>
      <c r="O1015" t="s">
        <v>63</v>
      </c>
      <c r="P1015" t="str">
        <f t="shared" si="31"/>
        <v>Hospital Central de Nampula</v>
      </c>
      <c r="Q1015" t="s">
        <v>24</v>
      </c>
      <c r="R1015">
        <v>2</v>
      </c>
    </row>
    <row r="1016" spans="1:18" x14ac:dyDescent="0.45">
      <c r="A1016" t="s">
        <v>1101</v>
      </c>
      <c r="B1016" s="3">
        <v>45380</v>
      </c>
      <c r="C1016">
        <v>28</v>
      </c>
      <c r="D1016" t="s">
        <v>27</v>
      </c>
      <c r="E1016">
        <v>63.8</v>
      </c>
      <c r="F1016">
        <v>165.5</v>
      </c>
      <c r="G1016" s="4">
        <f t="shared" si="30"/>
        <v>23.292960086162044</v>
      </c>
      <c r="H1016" t="s">
        <v>91</v>
      </c>
      <c r="I1016" t="s">
        <v>110</v>
      </c>
      <c r="J1016">
        <v>134</v>
      </c>
      <c r="K1016">
        <v>90</v>
      </c>
      <c r="L1016">
        <v>113</v>
      </c>
      <c r="M1016">
        <v>2</v>
      </c>
      <c r="N1016" s="5">
        <v>2549.35</v>
      </c>
      <c r="O1016" t="s">
        <v>23</v>
      </c>
      <c r="P1016" t="str">
        <f t="shared" si="31"/>
        <v>Hospital Central de Maputo</v>
      </c>
      <c r="Q1016" t="s">
        <v>24</v>
      </c>
      <c r="R1016">
        <v>5</v>
      </c>
    </row>
    <row r="1017" spans="1:18" x14ac:dyDescent="0.45">
      <c r="A1017" t="s">
        <v>1102</v>
      </c>
      <c r="B1017" s="3">
        <v>45052</v>
      </c>
      <c r="C1017">
        <v>13</v>
      </c>
      <c r="D1017" t="s">
        <v>20</v>
      </c>
      <c r="E1017">
        <v>71.099999999999994</v>
      </c>
      <c r="F1017">
        <v>170.3</v>
      </c>
      <c r="G1017" s="4">
        <f t="shared" si="30"/>
        <v>24.515474574418597</v>
      </c>
      <c r="H1017" t="s">
        <v>28</v>
      </c>
      <c r="I1017" t="s">
        <v>75</v>
      </c>
      <c r="J1017">
        <v>105</v>
      </c>
      <c r="K1017">
        <v>62</v>
      </c>
      <c r="L1017">
        <v>98</v>
      </c>
      <c r="M1017">
        <v>3</v>
      </c>
      <c r="N1017" s="5">
        <v>9384.52</v>
      </c>
      <c r="O1017" t="s">
        <v>51</v>
      </c>
      <c r="P1017" t="str">
        <f t="shared" si="31"/>
        <v>Hospital Central de Quelimane</v>
      </c>
      <c r="Q1017" t="s">
        <v>24</v>
      </c>
      <c r="R1017">
        <v>3</v>
      </c>
    </row>
    <row r="1018" spans="1:18" x14ac:dyDescent="0.45">
      <c r="A1018" t="s">
        <v>1103</v>
      </c>
      <c r="B1018" s="3">
        <v>44958</v>
      </c>
      <c r="C1018">
        <v>55</v>
      </c>
      <c r="D1018" t="s">
        <v>20</v>
      </c>
      <c r="E1018">
        <v>65.8</v>
      </c>
      <c r="F1018">
        <v>157.19999999999999</v>
      </c>
      <c r="G1018" s="4">
        <f t="shared" si="30"/>
        <v>26.626912443589795</v>
      </c>
      <c r="H1018" t="s">
        <v>34</v>
      </c>
      <c r="I1018" t="s">
        <v>128</v>
      </c>
      <c r="J1018">
        <v>134</v>
      </c>
      <c r="K1018">
        <v>84</v>
      </c>
      <c r="L1018">
        <v>91</v>
      </c>
      <c r="M1018">
        <v>1</v>
      </c>
      <c r="N1018" s="5">
        <v>1831.5</v>
      </c>
      <c r="O1018" t="s">
        <v>63</v>
      </c>
      <c r="P1018" t="str">
        <f t="shared" si="31"/>
        <v>Hospital Central de Nampula</v>
      </c>
      <c r="Q1018" t="s">
        <v>24</v>
      </c>
      <c r="R1018">
        <v>4</v>
      </c>
    </row>
    <row r="1019" spans="1:18" x14ac:dyDescent="0.45">
      <c r="A1019" t="s">
        <v>1104</v>
      </c>
      <c r="B1019" s="3">
        <v>45209</v>
      </c>
      <c r="C1019">
        <v>56</v>
      </c>
      <c r="D1019" t="s">
        <v>27</v>
      </c>
      <c r="E1019">
        <v>80.7</v>
      </c>
      <c r="F1019">
        <v>169.4</v>
      </c>
      <c r="G1019" s="4">
        <f t="shared" si="30"/>
        <v>28.122033595898575</v>
      </c>
      <c r="H1019" t="s">
        <v>91</v>
      </c>
      <c r="I1019" t="s">
        <v>131</v>
      </c>
      <c r="J1019">
        <v>137</v>
      </c>
      <c r="K1019">
        <v>86</v>
      </c>
      <c r="L1019">
        <v>100</v>
      </c>
      <c r="M1019">
        <v>3</v>
      </c>
      <c r="N1019" s="5">
        <v>7072.12</v>
      </c>
      <c r="O1019" t="s">
        <v>43</v>
      </c>
      <c r="P1019" t="str">
        <f t="shared" si="31"/>
        <v>Hospital Central da Beira</v>
      </c>
      <c r="Q1019" t="s">
        <v>24</v>
      </c>
      <c r="R1019">
        <v>1</v>
      </c>
    </row>
    <row r="1020" spans="1:18" x14ac:dyDescent="0.45">
      <c r="A1020" t="s">
        <v>1105</v>
      </c>
      <c r="B1020" s="3">
        <v>45050</v>
      </c>
      <c r="C1020">
        <v>57</v>
      </c>
      <c r="D1020" t="s">
        <v>20</v>
      </c>
      <c r="E1020">
        <v>59.6</v>
      </c>
      <c r="F1020">
        <v>158.9</v>
      </c>
      <c r="G1020" s="4">
        <f t="shared" si="30"/>
        <v>23.604698919292922</v>
      </c>
      <c r="H1020" t="s">
        <v>91</v>
      </c>
      <c r="I1020" t="s">
        <v>110</v>
      </c>
      <c r="J1020">
        <v>133</v>
      </c>
      <c r="K1020">
        <v>69</v>
      </c>
      <c r="L1020">
        <v>122</v>
      </c>
      <c r="M1020">
        <v>8</v>
      </c>
      <c r="N1020" s="5">
        <v>16298.91</v>
      </c>
      <c r="O1020" t="s">
        <v>30</v>
      </c>
      <c r="P1020" t="str">
        <f t="shared" si="31"/>
        <v>Hospital Provincial de Inhambane</v>
      </c>
      <c r="Q1020" t="s">
        <v>24</v>
      </c>
      <c r="R1020">
        <v>3</v>
      </c>
    </row>
    <row r="1021" spans="1:18" x14ac:dyDescent="0.45">
      <c r="A1021" t="s">
        <v>1106</v>
      </c>
      <c r="B1021" s="3">
        <v>45068</v>
      </c>
      <c r="C1021">
        <v>22</v>
      </c>
      <c r="D1021" t="s">
        <v>27</v>
      </c>
      <c r="E1021">
        <v>62.5</v>
      </c>
      <c r="F1021">
        <v>172.1</v>
      </c>
      <c r="G1021" s="4">
        <f t="shared" si="30"/>
        <v>21.101740437788525</v>
      </c>
      <c r="H1021" t="s">
        <v>21</v>
      </c>
      <c r="I1021" t="s">
        <v>22</v>
      </c>
      <c r="J1021">
        <v>124</v>
      </c>
      <c r="K1021">
        <v>79</v>
      </c>
      <c r="L1021">
        <v>76</v>
      </c>
      <c r="M1021">
        <v>5</v>
      </c>
      <c r="N1021" s="5">
        <v>14400.48</v>
      </c>
      <c r="O1021" t="s">
        <v>57</v>
      </c>
      <c r="P1021" t="str">
        <f t="shared" si="31"/>
        <v>Hospital Provincial de Tete</v>
      </c>
      <c r="Q1021" t="s">
        <v>24</v>
      </c>
      <c r="R1021">
        <v>3</v>
      </c>
    </row>
    <row r="1022" spans="1:18" x14ac:dyDescent="0.45">
      <c r="A1022" t="s">
        <v>1107</v>
      </c>
      <c r="B1022" s="3">
        <v>45185</v>
      </c>
      <c r="C1022">
        <v>57</v>
      </c>
      <c r="D1022" t="s">
        <v>20</v>
      </c>
      <c r="E1022">
        <v>56.3</v>
      </c>
      <c r="F1022">
        <v>153.30000000000001</v>
      </c>
      <c r="G1022" s="4">
        <f t="shared" si="30"/>
        <v>23.956539518290576</v>
      </c>
      <c r="H1022" t="s">
        <v>21</v>
      </c>
      <c r="I1022" t="s">
        <v>123</v>
      </c>
      <c r="J1022">
        <v>127</v>
      </c>
      <c r="K1022">
        <v>77</v>
      </c>
      <c r="L1022">
        <v>85</v>
      </c>
      <c r="M1022">
        <v>7</v>
      </c>
      <c r="N1022" s="5">
        <v>17895.93</v>
      </c>
      <c r="O1022" t="s">
        <v>23</v>
      </c>
      <c r="P1022" t="str">
        <f t="shared" si="31"/>
        <v>Hospital Central de Maputo</v>
      </c>
      <c r="Q1022" t="s">
        <v>24</v>
      </c>
      <c r="R1022">
        <v>5</v>
      </c>
    </row>
    <row r="1023" spans="1:18" x14ac:dyDescent="0.45">
      <c r="A1023" t="s">
        <v>1108</v>
      </c>
      <c r="B1023" s="3">
        <v>44994</v>
      </c>
      <c r="C1023">
        <v>18</v>
      </c>
      <c r="D1023" t="s">
        <v>27</v>
      </c>
      <c r="E1023">
        <v>80.400000000000006</v>
      </c>
      <c r="F1023">
        <v>162.6</v>
      </c>
      <c r="G1023" s="4">
        <f t="shared" si="30"/>
        <v>30.409898194922913</v>
      </c>
      <c r="H1023" t="s">
        <v>46</v>
      </c>
      <c r="I1023" t="s">
        <v>47</v>
      </c>
      <c r="J1023">
        <v>122</v>
      </c>
      <c r="K1023">
        <v>77</v>
      </c>
      <c r="L1023">
        <v>73</v>
      </c>
      <c r="M1023">
        <v>2</v>
      </c>
      <c r="N1023" s="5">
        <v>9026.16</v>
      </c>
      <c r="O1023" t="s">
        <v>52</v>
      </c>
      <c r="P1023" t="str">
        <f t="shared" si="31"/>
        <v>Hospital Provincial de Chimoio</v>
      </c>
      <c r="Q1023" t="s">
        <v>24</v>
      </c>
      <c r="R1023">
        <v>3</v>
      </c>
    </row>
    <row r="1024" spans="1:18" x14ac:dyDescent="0.45">
      <c r="A1024" t="s">
        <v>1109</v>
      </c>
      <c r="B1024" s="3">
        <v>44993</v>
      </c>
      <c r="C1024">
        <v>19</v>
      </c>
      <c r="D1024" t="s">
        <v>20</v>
      </c>
      <c r="E1024">
        <v>43.8</v>
      </c>
      <c r="F1024">
        <v>156.5</v>
      </c>
      <c r="G1024" s="4">
        <f t="shared" si="30"/>
        <v>17.883207953536324</v>
      </c>
      <c r="H1024" t="s">
        <v>41</v>
      </c>
      <c r="I1024" t="s">
        <v>161</v>
      </c>
      <c r="J1024">
        <v>96</v>
      </c>
      <c r="K1024">
        <v>64</v>
      </c>
      <c r="L1024">
        <v>83</v>
      </c>
      <c r="M1024">
        <v>1</v>
      </c>
      <c r="N1024" s="5">
        <v>2399.5100000000002</v>
      </c>
      <c r="O1024" t="s">
        <v>38</v>
      </c>
      <c r="P1024" t="str">
        <f t="shared" si="31"/>
        <v>Hospital Provincial de Xai-Xai</v>
      </c>
      <c r="Q1024" t="s">
        <v>24</v>
      </c>
      <c r="R1024">
        <v>4</v>
      </c>
    </row>
    <row r="1025" spans="1:18" x14ac:dyDescent="0.45">
      <c r="A1025" t="s">
        <v>1110</v>
      </c>
      <c r="B1025" s="3">
        <v>45199</v>
      </c>
      <c r="C1025">
        <v>5</v>
      </c>
      <c r="D1025" t="s">
        <v>20</v>
      </c>
      <c r="E1025">
        <v>17.7</v>
      </c>
      <c r="F1025">
        <v>128.80000000000001</v>
      </c>
      <c r="G1025" s="4">
        <f t="shared" si="30"/>
        <v>10.669437907488135</v>
      </c>
      <c r="H1025" t="s">
        <v>28</v>
      </c>
      <c r="I1025" t="s">
        <v>50</v>
      </c>
      <c r="J1025">
        <v>105</v>
      </c>
      <c r="K1025">
        <v>62</v>
      </c>
      <c r="L1025">
        <v>66</v>
      </c>
      <c r="M1025">
        <v>3</v>
      </c>
      <c r="N1025" s="5">
        <v>7057.06</v>
      </c>
      <c r="O1025" t="s">
        <v>23</v>
      </c>
      <c r="P1025" t="str">
        <f t="shared" si="31"/>
        <v>Hospital Central de Maputo</v>
      </c>
      <c r="Q1025" t="s">
        <v>24</v>
      </c>
      <c r="R1025">
        <v>5</v>
      </c>
    </row>
    <row r="1026" spans="1:18" x14ac:dyDescent="0.45">
      <c r="A1026" t="s">
        <v>1111</v>
      </c>
      <c r="B1026" s="3">
        <v>44995</v>
      </c>
      <c r="C1026">
        <v>13</v>
      </c>
      <c r="D1026" t="s">
        <v>27</v>
      </c>
      <c r="E1026">
        <v>66.2</v>
      </c>
      <c r="F1026">
        <v>173</v>
      </c>
      <c r="G1026" s="4">
        <f t="shared" ref="G1026:G1089" si="32">E1026/((F1026/100)^2)</f>
        <v>22.119015002171807</v>
      </c>
      <c r="H1026" t="s">
        <v>28</v>
      </c>
      <c r="I1026" t="s">
        <v>75</v>
      </c>
      <c r="J1026">
        <v>85</v>
      </c>
      <c r="K1026">
        <v>55</v>
      </c>
      <c r="L1026">
        <v>76</v>
      </c>
      <c r="M1026">
        <v>1</v>
      </c>
      <c r="N1026" s="5">
        <v>2117.23</v>
      </c>
      <c r="O1026" t="s">
        <v>51</v>
      </c>
      <c r="P1026" t="str">
        <f t="shared" ref="P1026:P1089" si="33">INDEX($U$2:$U$12,MATCH(O1026,$T$2:$T$12,0))</f>
        <v>Hospital Central de Quelimane</v>
      </c>
      <c r="Q1026" t="s">
        <v>24</v>
      </c>
      <c r="R1026">
        <v>5</v>
      </c>
    </row>
    <row r="1027" spans="1:18" x14ac:dyDescent="0.45">
      <c r="A1027" t="s">
        <v>1112</v>
      </c>
      <c r="B1027" s="3">
        <v>45569</v>
      </c>
      <c r="C1027">
        <v>35</v>
      </c>
      <c r="D1027" t="s">
        <v>27</v>
      </c>
      <c r="E1027">
        <v>82.1</v>
      </c>
      <c r="F1027">
        <v>164.3</v>
      </c>
      <c r="G1027" s="4">
        <f t="shared" si="32"/>
        <v>30.41361403753136</v>
      </c>
      <c r="H1027" t="s">
        <v>21</v>
      </c>
      <c r="I1027" t="s">
        <v>22</v>
      </c>
      <c r="J1027">
        <v>139</v>
      </c>
      <c r="K1027">
        <v>78</v>
      </c>
      <c r="L1027">
        <v>65</v>
      </c>
      <c r="M1027">
        <v>6</v>
      </c>
      <c r="N1027" s="5">
        <v>12644.89</v>
      </c>
      <c r="O1027" t="s">
        <v>23</v>
      </c>
      <c r="P1027" t="str">
        <f t="shared" si="33"/>
        <v>Hospital Central de Maputo</v>
      </c>
      <c r="Q1027" t="s">
        <v>76</v>
      </c>
      <c r="R1027">
        <v>5</v>
      </c>
    </row>
    <row r="1028" spans="1:18" x14ac:dyDescent="0.45">
      <c r="A1028" t="s">
        <v>1113</v>
      </c>
      <c r="B1028" s="3">
        <v>45477</v>
      </c>
      <c r="C1028">
        <v>18</v>
      </c>
      <c r="D1028" t="s">
        <v>27</v>
      </c>
      <c r="E1028">
        <v>42.5</v>
      </c>
      <c r="F1028">
        <v>170</v>
      </c>
      <c r="G1028" s="4">
        <f t="shared" si="32"/>
        <v>14.705882352941178</v>
      </c>
      <c r="H1028" t="s">
        <v>34</v>
      </c>
      <c r="I1028" t="s">
        <v>128</v>
      </c>
      <c r="J1028">
        <v>134</v>
      </c>
      <c r="K1028">
        <v>80</v>
      </c>
      <c r="L1028">
        <v>99</v>
      </c>
      <c r="M1028">
        <v>1</v>
      </c>
      <c r="N1028" s="5">
        <v>4642.0200000000004</v>
      </c>
      <c r="O1028" t="s">
        <v>63</v>
      </c>
      <c r="P1028" t="str">
        <f t="shared" si="33"/>
        <v>Hospital Central de Nampula</v>
      </c>
      <c r="Q1028" t="s">
        <v>24</v>
      </c>
      <c r="R1028">
        <v>4</v>
      </c>
    </row>
    <row r="1029" spans="1:18" x14ac:dyDescent="0.45">
      <c r="A1029" t="s">
        <v>1114</v>
      </c>
      <c r="B1029" s="3">
        <v>45165</v>
      </c>
      <c r="C1029">
        <v>29</v>
      </c>
      <c r="D1029" t="s">
        <v>27</v>
      </c>
      <c r="E1029">
        <v>64.7</v>
      </c>
      <c r="F1029">
        <v>161.69999999999999</v>
      </c>
      <c r="G1029" s="4">
        <f t="shared" si="32"/>
        <v>24.744816687567816</v>
      </c>
      <c r="H1029" t="s">
        <v>34</v>
      </c>
      <c r="I1029" t="s">
        <v>126</v>
      </c>
      <c r="J1029">
        <v>121</v>
      </c>
      <c r="K1029">
        <v>84</v>
      </c>
      <c r="L1029">
        <v>88</v>
      </c>
      <c r="M1029">
        <v>2</v>
      </c>
      <c r="N1029" s="5">
        <v>4867.53</v>
      </c>
      <c r="O1029" t="s">
        <v>63</v>
      </c>
      <c r="P1029" t="str">
        <f t="shared" si="33"/>
        <v>Hospital Central de Nampula</v>
      </c>
      <c r="Q1029" t="s">
        <v>37</v>
      </c>
      <c r="R1029">
        <v>4</v>
      </c>
    </row>
    <row r="1030" spans="1:18" x14ac:dyDescent="0.45">
      <c r="A1030" t="s">
        <v>1115</v>
      </c>
      <c r="B1030" s="3">
        <v>45014</v>
      </c>
      <c r="C1030">
        <v>43</v>
      </c>
      <c r="D1030" t="s">
        <v>27</v>
      </c>
      <c r="E1030">
        <v>46.3</v>
      </c>
      <c r="F1030">
        <v>164.2</v>
      </c>
      <c r="G1030" s="4">
        <f t="shared" si="32"/>
        <v>17.172545883707372</v>
      </c>
      <c r="H1030" t="s">
        <v>55</v>
      </c>
      <c r="I1030" t="s">
        <v>80</v>
      </c>
      <c r="J1030">
        <v>130</v>
      </c>
      <c r="K1030">
        <v>77</v>
      </c>
      <c r="L1030">
        <v>65</v>
      </c>
      <c r="M1030">
        <v>1</v>
      </c>
      <c r="N1030" s="5">
        <v>5458.58</v>
      </c>
      <c r="O1030" t="s">
        <v>52</v>
      </c>
      <c r="P1030" t="str">
        <f t="shared" si="33"/>
        <v>Hospital Provincial de Chimoio</v>
      </c>
      <c r="Q1030" t="s">
        <v>24</v>
      </c>
      <c r="R1030">
        <v>4</v>
      </c>
    </row>
    <row r="1031" spans="1:18" x14ac:dyDescent="0.45">
      <c r="A1031" t="s">
        <v>1116</v>
      </c>
      <c r="B1031" s="3">
        <v>45328</v>
      </c>
      <c r="C1031">
        <v>38</v>
      </c>
      <c r="D1031" t="s">
        <v>27</v>
      </c>
      <c r="E1031">
        <v>79.900000000000006</v>
      </c>
      <c r="F1031">
        <v>161.69999999999999</v>
      </c>
      <c r="G1031" s="4">
        <f t="shared" si="32"/>
        <v>30.55812756316335</v>
      </c>
      <c r="H1031" t="s">
        <v>46</v>
      </c>
      <c r="I1031" t="s">
        <v>47</v>
      </c>
      <c r="J1031">
        <v>115</v>
      </c>
      <c r="K1031">
        <v>74</v>
      </c>
      <c r="L1031">
        <v>96</v>
      </c>
      <c r="M1031">
        <v>3</v>
      </c>
      <c r="N1031" s="5">
        <v>5400.37</v>
      </c>
      <c r="O1031" t="s">
        <v>52</v>
      </c>
      <c r="P1031" t="str">
        <f t="shared" si="33"/>
        <v>Hospital Provincial de Chimoio</v>
      </c>
      <c r="Q1031" t="s">
        <v>24</v>
      </c>
      <c r="R1031">
        <v>3</v>
      </c>
    </row>
    <row r="1032" spans="1:18" x14ac:dyDescent="0.45">
      <c r="A1032" t="s">
        <v>1117</v>
      </c>
      <c r="B1032" s="3">
        <v>45426</v>
      </c>
      <c r="C1032">
        <v>33</v>
      </c>
      <c r="D1032" t="s">
        <v>27</v>
      </c>
      <c r="E1032">
        <v>74.099999999999994</v>
      </c>
      <c r="F1032">
        <v>158.6</v>
      </c>
      <c r="G1032" s="4">
        <f t="shared" si="32"/>
        <v>29.458582266967113</v>
      </c>
      <c r="H1032" t="s">
        <v>46</v>
      </c>
      <c r="I1032" t="s">
        <v>94</v>
      </c>
      <c r="J1032">
        <v>134</v>
      </c>
      <c r="K1032">
        <v>91</v>
      </c>
      <c r="L1032">
        <v>65</v>
      </c>
      <c r="M1032">
        <v>4</v>
      </c>
      <c r="N1032" s="5">
        <v>10662.18</v>
      </c>
      <c r="O1032" t="s">
        <v>57</v>
      </c>
      <c r="P1032" t="str">
        <f t="shared" si="33"/>
        <v>Hospital Provincial de Tete</v>
      </c>
      <c r="Q1032" t="s">
        <v>37</v>
      </c>
      <c r="R1032">
        <v>5</v>
      </c>
    </row>
    <row r="1033" spans="1:18" x14ac:dyDescent="0.45">
      <c r="A1033" t="s">
        <v>1118</v>
      </c>
      <c r="B1033" s="3">
        <v>45645</v>
      </c>
      <c r="C1033">
        <v>19</v>
      </c>
      <c r="D1033" t="s">
        <v>27</v>
      </c>
      <c r="E1033">
        <v>70.099999999999994</v>
      </c>
      <c r="F1033">
        <v>157.9</v>
      </c>
      <c r="G1033" s="4">
        <f t="shared" si="32"/>
        <v>28.116014456685093</v>
      </c>
      <c r="H1033" t="s">
        <v>99</v>
      </c>
      <c r="I1033" t="s">
        <v>100</v>
      </c>
      <c r="J1033">
        <v>106</v>
      </c>
      <c r="K1033">
        <v>73</v>
      </c>
      <c r="L1033">
        <v>107</v>
      </c>
      <c r="M1033">
        <v>1</v>
      </c>
      <c r="N1033" s="5">
        <v>1684.96</v>
      </c>
      <c r="O1033" t="s">
        <v>57</v>
      </c>
      <c r="P1033" t="str">
        <f t="shared" si="33"/>
        <v>Hospital Provincial de Tete</v>
      </c>
      <c r="Q1033" t="s">
        <v>24</v>
      </c>
      <c r="R1033">
        <v>3</v>
      </c>
    </row>
    <row r="1034" spans="1:18" x14ac:dyDescent="0.45">
      <c r="A1034" t="s">
        <v>1119</v>
      </c>
      <c r="B1034" s="3">
        <v>45291</v>
      </c>
      <c r="C1034">
        <v>28</v>
      </c>
      <c r="D1034" t="s">
        <v>27</v>
      </c>
      <c r="E1034">
        <v>78.900000000000006</v>
      </c>
      <c r="F1034">
        <v>161.19999999999999</v>
      </c>
      <c r="G1034" s="4">
        <f t="shared" si="32"/>
        <v>30.363157214193802</v>
      </c>
      <c r="H1034" t="s">
        <v>99</v>
      </c>
      <c r="I1034" t="s">
        <v>100</v>
      </c>
      <c r="J1034">
        <v>142</v>
      </c>
      <c r="K1034">
        <v>88</v>
      </c>
      <c r="L1034">
        <v>119</v>
      </c>
      <c r="M1034">
        <v>1</v>
      </c>
      <c r="N1034" s="5">
        <v>4580.03</v>
      </c>
      <c r="O1034" t="s">
        <v>31</v>
      </c>
      <c r="P1034" t="str">
        <f t="shared" si="33"/>
        <v>Hospital Provincial da Matola</v>
      </c>
      <c r="Q1034" t="s">
        <v>24</v>
      </c>
      <c r="R1034">
        <v>4</v>
      </c>
    </row>
    <row r="1035" spans="1:18" x14ac:dyDescent="0.45">
      <c r="A1035" t="s">
        <v>1120</v>
      </c>
      <c r="B1035" s="3">
        <v>45191</v>
      </c>
      <c r="C1035">
        <v>30</v>
      </c>
      <c r="D1035" t="s">
        <v>27</v>
      </c>
      <c r="E1035">
        <v>61.3</v>
      </c>
      <c r="F1035">
        <v>160.30000000000001</v>
      </c>
      <c r="G1035" s="4">
        <f t="shared" si="32"/>
        <v>23.855769496448673</v>
      </c>
      <c r="H1035" t="s">
        <v>41</v>
      </c>
      <c r="I1035" t="s">
        <v>161</v>
      </c>
      <c r="J1035">
        <v>134</v>
      </c>
      <c r="K1035">
        <v>84</v>
      </c>
      <c r="L1035">
        <v>94</v>
      </c>
      <c r="M1035">
        <v>26</v>
      </c>
      <c r="N1035" s="5">
        <v>33531.97</v>
      </c>
      <c r="O1035" t="s">
        <v>36</v>
      </c>
      <c r="P1035" t="str">
        <f t="shared" si="33"/>
        <v>Hospital Provincial de Lichinga</v>
      </c>
      <c r="Q1035" t="s">
        <v>24</v>
      </c>
      <c r="R1035">
        <v>4</v>
      </c>
    </row>
    <row r="1036" spans="1:18" x14ac:dyDescent="0.45">
      <c r="A1036" t="s">
        <v>1121</v>
      </c>
      <c r="B1036" s="3">
        <v>45541</v>
      </c>
      <c r="C1036">
        <v>41</v>
      </c>
      <c r="D1036" t="s">
        <v>20</v>
      </c>
      <c r="E1036">
        <v>58.4</v>
      </c>
      <c r="F1036">
        <v>162.1</v>
      </c>
      <c r="G1036" s="4">
        <f t="shared" si="32"/>
        <v>22.225258321056796</v>
      </c>
      <c r="H1036" t="s">
        <v>34</v>
      </c>
      <c r="I1036" t="s">
        <v>138</v>
      </c>
      <c r="J1036">
        <v>120</v>
      </c>
      <c r="K1036">
        <v>83</v>
      </c>
      <c r="L1036">
        <v>103</v>
      </c>
      <c r="M1036">
        <v>15</v>
      </c>
      <c r="N1036" s="5">
        <v>16399.77</v>
      </c>
      <c r="O1036" t="s">
        <v>52</v>
      </c>
      <c r="P1036" t="str">
        <f t="shared" si="33"/>
        <v>Hospital Provincial de Chimoio</v>
      </c>
      <c r="Q1036" t="s">
        <v>24</v>
      </c>
      <c r="R1036">
        <v>4</v>
      </c>
    </row>
    <row r="1037" spans="1:18" x14ac:dyDescent="0.45">
      <c r="A1037" t="s">
        <v>1122</v>
      </c>
      <c r="B1037" s="3">
        <v>45644</v>
      </c>
      <c r="C1037">
        <v>28</v>
      </c>
      <c r="D1037" t="s">
        <v>20</v>
      </c>
      <c r="E1037">
        <v>58.6</v>
      </c>
      <c r="F1037">
        <v>169</v>
      </c>
      <c r="G1037" s="4">
        <f t="shared" si="32"/>
        <v>20.517488883442461</v>
      </c>
      <c r="H1037" t="s">
        <v>34</v>
      </c>
      <c r="I1037" t="s">
        <v>126</v>
      </c>
      <c r="J1037">
        <v>109</v>
      </c>
      <c r="K1037">
        <v>70</v>
      </c>
      <c r="L1037">
        <v>94</v>
      </c>
      <c r="M1037">
        <v>1</v>
      </c>
      <c r="N1037" s="5">
        <v>2171.67</v>
      </c>
      <c r="O1037" t="s">
        <v>38</v>
      </c>
      <c r="P1037" t="str">
        <f t="shared" si="33"/>
        <v>Hospital Provincial de Xai-Xai</v>
      </c>
      <c r="Q1037" t="s">
        <v>24</v>
      </c>
      <c r="R1037">
        <v>4</v>
      </c>
    </row>
    <row r="1038" spans="1:18" x14ac:dyDescent="0.45">
      <c r="A1038" t="s">
        <v>1123</v>
      </c>
      <c r="B1038" s="3">
        <v>45338</v>
      </c>
      <c r="C1038">
        <v>43</v>
      </c>
      <c r="D1038" t="s">
        <v>20</v>
      </c>
      <c r="E1038">
        <v>47.2</v>
      </c>
      <c r="F1038">
        <v>179.6</v>
      </c>
      <c r="G1038" s="4">
        <f t="shared" si="32"/>
        <v>14.63286392428609</v>
      </c>
      <c r="H1038" t="s">
        <v>41</v>
      </c>
      <c r="I1038" t="s">
        <v>161</v>
      </c>
      <c r="J1038">
        <v>130</v>
      </c>
      <c r="K1038">
        <v>83</v>
      </c>
      <c r="L1038">
        <v>82</v>
      </c>
      <c r="M1038">
        <v>3</v>
      </c>
      <c r="N1038" s="5">
        <v>7201.36</v>
      </c>
      <c r="O1038" t="s">
        <v>52</v>
      </c>
      <c r="P1038" t="str">
        <f t="shared" si="33"/>
        <v>Hospital Provincial de Chimoio</v>
      </c>
      <c r="Q1038" t="s">
        <v>37</v>
      </c>
      <c r="R1038">
        <v>1</v>
      </c>
    </row>
    <row r="1039" spans="1:18" x14ac:dyDescent="0.45">
      <c r="A1039" t="s">
        <v>1124</v>
      </c>
      <c r="B1039" s="3">
        <v>45337</v>
      </c>
      <c r="C1039">
        <v>16</v>
      </c>
      <c r="D1039" t="s">
        <v>27</v>
      </c>
      <c r="E1039">
        <v>66.8</v>
      </c>
      <c r="F1039">
        <v>166</v>
      </c>
      <c r="G1039" s="4">
        <f t="shared" si="32"/>
        <v>24.241544491217883</v>
      </c>
      <c r="H1039" t="s">
        <v>99</v>
      </c>
      <c r="I1039" t="s">
        <v>103</v>
      </c>
      <c r="J1039">
        <v>104</v>
      </c>
      <c r="K1039">
        <v>71</v>
      </c>
      <c r="L1039">
        <v>119</v>
      </c>
      <c r="M1039">
        <v>7</v>
      </c>
      <c r="N1039" s="5">
        <v>19772.28</v>
      </c>
      <c r="O1039" t="s">
        <v>57</v>
      </c>
      <c r="P1039" t="str">
        <f t="shared" si="33"/>
        <v>Hospital Provincial de Tete</v>
      </c>
      <c r="Q1039" t="s">
        <v>202</v>
      </c>
      <c r="R1039">
        <v>4</v>
      </c>
    </row>
    <row r="1040" spans="1:18" x14ac:dyDescent="0.45">
      <c r="A1040" t="s">
        <v>1125</v>
      </c>
      <c r="B1040" s="3">
        <v>45558</v>
      </c>
      <c r="C1040">
        <v>37</v>
      </c>
      <c r="D1040" t="s">
        <v>20</v>
      </c>
      <c r="E1040">
        <v>49.7</v>
      </c>
      <c r="F1040">
        <v>159.19999999999999</v>
      </c>
      <c r="G1040" s="4">
        <f t="shared" si="32"/>
        <v>19.60966894775385</v>
      </c>
      <c r="H1040" t="s">
        <v>46</v>
      </c>
      <c r="I1040" t="s">
        <v>66</v>
      </c>
      <c r="J1040">
        <v>109</v>
      </c>
      <c r="K1040">
        <v>74</v>
      </c>
      <c r="L1040">
        <v>65</v>
      </c>
      <c r="M1040">
        <v>8</v>
      </c>
      <c r="N1040" s="5">
        <v>15646.7</v>
      </c>
      <c r="O1040" t="s">
        <v>36</v>
      </c>
      <c r="P1040" t="str">
        <f t="shared" si="33"/>
        <v>Hospital Provincial de Lichinga</v>
      </c>
      <c r="Q1040" t="s">
        <v>37</v>
      </c>
      <c r="R1040">
        <v>2</v>
      </c>
    </row>
    <row r="1041" spans="1:18" x14ac:dyDescent="0.45">
      <c r="A1041" t="s">
        <v>1126</v>
      </c>
      <c r="B1041" s="3">
        <v>45054</v>
      </c>
      <c r="C1041">
        <v>27</v>
      </c>
      <c r="D1041" t="s">
        <v>20</v>
      </c>
      <c r="E1041">
        <v>70.599999999999994</v>
      </c>
      <c r="F1041">
        <v>175.8</v>
      </c>
      <c r="G1041" s="4">
        <f t="shared" si="32"/>
        <v>22.843726905509801</v>
      </c>
      <c r="H1041" t="s">
        <v>46</v>
      </c>
      <c r="I1041" t="s">
        <v>94</v>
      </c>
      <c r="J1041">
        <v>99</v>
      </c>
      <c r="K1041">
        <v>62</v>
      </c>
      <c r="L1041">
        <v>82</v>
      </c>
      <c r="M1041">
        <v>4</v>
      </c>
      <c r="N1041" s="5">
        <v>7649.79</v>
      </c>
      <c r="O1041" t="s">
        <v>23</v>
      </c>
      <c r="P1041" t="str">
        <f t="shared" si="33"/>
        <v>Hospital Central de Maputo</v>
      </c>
      <c r="Q1041" t="s">
        <v>24</v>
      </c>
      <c r="R1041">
        <v>2</v>
      </c>
    </row>
    <row r="1042" spans="1:18" x14ac:dyDescent="0.45">
      <c r="A1042" t="s">
        <v>1127</v>
      </c>
      <c r="B1042" s="3">
        <v>45537</v>
      </c>
      <c r="C1042">
        <v>10</v>
      </c>
      <c r="D1042" t="s">
        <v>27</v>
      </c>
      <c r="E1042">
        <v>10.7</v>
      </c>
      <c r="F1042">
        <v>82.8</v>
      </c>
      <c r="G1042" s="4">
        <f t="shared" si="32"/>
        <v>15.607132021750799</v>
      </c>
      <c r="H1042" t="s">
        <v>28</v>
      </c>
      <c r="I1042" t="s">
        <v>75</v>
      </c>
      <c r="J1042">
        <v>114</v>
      </c>
      <c r="K1042">
        <v>75</v>
      </c>
      <c r="L1042">
        <v>102</v>
      </c>
      <c r="M1042">
        <v>1</v>
      </c>
      <c r="N1042" s="5">
        <v>2529.5100000000002</v>
      </c>
      <c r="O1042" t="s">
        <v>43</v>
      </c>
      <c r="P1042" t="str">
        <f t="shared" si="33"/>
        <v>Hospital Central da Beira</v>
      </c>
      <c r="Q1042" t="s">
        <v>24</v>
      </c>
      <c r="R1042">
        <v>4</v>
      </c>
    </row>
    <row r="1043" spans="1:18" x14ac:dyDescent="0.45">
      <c r="A1043" t="s">
        <v>1128</v>
      </c>
      <c r="B1043" s="3">
        <v>45593</v>
      </c>
      <c r="C1043">
        <v>20</v>
      </c>
      <c r="D1043" t="s">
        <v>27</v>
      </c>
      <c r="E1043">
        <v>68.3</v>
      </c>
      <c r="F1043">
        <v>185.9</v>
      </c>
      <c r="G1043" s="4">
        <f t="shared" si="32"/>
        <v>19.763411992484695</v>
      </c>
      <c r="H1043" t="s">
        <v>99</v>
      </c>
      <c r="I1043" t="s">
        <v>151</v>
      </c>
      <c r="J1043">
        <v>117</v>
      </c>
      <c r="K1043">
        <v>68</v>
      </c>
      <c r="L1043">
        <v>100</v>
      </c>
      <c r="M1043">
        <v>8</v>
      </c>
      <c r="N1043" s="5">
        <v>24549.25</v>
      </c>
      <c r="O1043" t="s">
        <v>52</v>
      </c>
      <c r="P1043" t="str">
        <f t="shared" si="33"/>
        <v>Hospital Provincial de Chimoio</v>
      </c>
      <c r="Q1043" t="s">
        <v>24</v>
      </c>
      <c r="R1043">
        <v>4</v>
      </c>
    </row>
    <row r="1044" spans="1:18" x14ac:dyDescent="0.45">
      <c r="A1044" t="s">
        <v>1129</v>
      </c>
      <c r="B1044" s="3">
        <v>44978</v>
      </c>
      <c r="C1044">
        <v>37</v>
      </c>
      <c r="D1044" t="s">
        <v>27</v>
      </c>
      <c r="E1044">
        <v>54.5</v>
      </c>
      <c r="F1044">
        <v>164.5</v>
      </c>
      <c r="G1044" s="4">
        <f t="shared" si="32"/>
        <v>20.140242606775622</v>
      </c>
      <c r="H1044" t="s">
        <v>46</v>
      </c>
      <c r="I1044" t="s">
        <v>108</v>
      </c>
      <c r="J1044">
        <v>136</v>
      </c>
      <c r="K1044">
        <v>77</v>
      </c>
      <c r="L1044">
        <v>90</v>
      </c>
      <c r="M1044">
        <v>3</v>
      </c>
      <c r="N1044" s="5">
        <v>4898.3</v>
      </c>
      <c r="O1044" t="s">
        <v>67</v>
      </c>
      <c r="P1044" t="str">
        <f t="shared" si="33"/>
        <v>Hospital Provincial de Pemba</v>
      </c>
      <c r="Q1044" t="s">
        <v>24</v>
      </c>
      <c r="R1044">
        <v>5</v>
      </c>
    </row>
    <row r="1045" spans="1:18" x14ac:dyDescent="0.45">
      <c r="A1045" t="s">
        <v>1130</v>
      </c>
      <c r="B1045" s="3">
        <v>45123</v>
      </c>
      <c r="C1045">
        <v>39</v>
      </c>
      <c r="D1045" t="s">
        <v>20</v>
      </c>
      <c r="E1045">
        <v>71.400000000000006</v>
      </c>
      <c r="F1045">
        <v>178.7</v>
      </c>
      <c r="G1045" s="4">
        <f t="shared" si="32"/>
        <v>22.358831691545831</v>
      </c>
      <c r="H1045" t="s">
        <v>41</v>
      </c>
      <c r="I1045" t="s">
        <v>42</v>
      </c>
      <c r="J1045">
        <v>92</v>
      </c>
      <c r="K1045">
        <v>59</v>
      </c>
      <c r="L1045">
        <v>65</v>
      </c>
      <c r="M1045">
        <v>1</v>
      </c>
      <c r="N1045" s="5">
        <v>4634.9399999999996</v>
      </c>
      <c r="O1045" t="s">
        <v>23</v>
      </c>
      <c r="P1045" t="str">
        <f t="shared" si="33"/>
        <v>Hospital Central de Maputo</v>
      </c>
      <c r="Q1045" t="s">
        <v>24</v>
      </c>
      <c r="R1045">
        <v>4</v>
      </c>
    </row>
    <row r="1046" spans="1:18" x14ac:dyDescent="0.45">
      <c r="A1046" t="s">
        <v>1131</v>
      </c>
      <c r="B1046" s="3">
        <v>45549</v>
      </c>
      <c r="C1046">
        <v>1</v>
      </c>
      <c r="D1046" t="s">
        <v>27</v>
      </c>
      <c r="E1046">
        <v>9.9</v>
      </c>
      <c r="F1046">
        <v>92.8</v>
      </c>
      <c r="G1046" s="4">
        <f t="shared" si="32"/>
        <v>11.495801129607612</v>
      </c>
      <c r="H1046" t="s">
        <v>28</v>
      </c>
      <c r="I1046" t="s">
        <v>29</v>
      </c>
      <c r="J1046">
        <v>104</v>
      </c>
      <c r="K1046">
        <v>67</v>
      </c>
      <c r="L1046">
        <v>92</v>
      </c>
      <c r="M1046">
        <v>13</v>
      </c>
      <c r="N1046" s="5">
        <v>37493.300000000003</v>
      </c>
      <c r="O1046" t="s">
        <v>63</v>
      </c>
      <c r="P1046" t="str">
        <f t="shared" si="33"/>
        <v>Hospital Central de Nampula</v>
      </c>
      <c r="Q1046" t="s">
        <v>24</v>
      </c>
      <c r="R1046">
        <v>4</v>
      </c>
    </row>
    <row r="1047" spans="1:18" x14ac:dyDescent="0.45">
      <c r="A1047" t="s">
        <v>1132</v>
      </c>
      <c r="B1047" s="3">
        <v>45337</v>
      </c>
      <c r="C1047">
        <v>50</v>
      </c>
      <c r="D1047" t="s">
        <v>20</v>
      </c>
      <c r="E1047">
        <v>67.599999999999994</v>
      </c>
      <c r="F1047">
        <v>159.80000000000001</v>
      </c>
      <c r="G1047" s="4">
        <f t="shared" si="32"/>
        <v>26.472389610918523</v>
      </c>
      <c r="H1047" t="s">
        <v>46</v>
      </c>
      <c r="I1047" t="s">
        <v>47</v>
      </c>
      <c r="J1047">
        <v>128</v>
      </c>
      <c r="K1047">
        <v>87</v>
      </c>
      <c r="L1047">
        <v>105</v>
      </c>
      <c r="M1047">
        <v>14</v>
      </c>
      <c r="N1047" s="5">
        <v>32373.5</v>
      </c>
      <c r="O1047" t="s">
        <v>52</v>
      </c>
      <c r="P1047" t="str">
        <f t="shared" si="33"/>
        <v>Hospital Provincial de Chimoio</v>
      </c>
      <c r="Q1047" t="s">
        <v>24</v>
      </c>
      <c r="R1047">
        <v>4</v>
      </c>
    </row>
    <row r="1048" spans="1:18" x14ac:dyDescent="0.45">
      <c r="A1048" t="s">
        <v>1133</v>
      </c>
      <c r="B1048" s="3">
        <v>44988</v>
      </c>
      <c r="C1048">
        <v>47</v>
      </c>
      <c r="D1048" t="s">
        <v>20</v>
      </c>
      <c r="E1048">
        <v>74.099999999999994</v>
      </c>
      <c r="F1048">
        <v>172.3</v>
      </c>
      <c r="G1048" s="4">
        <f t="shared" si="32"/>
        <v>24.960176560406826</v>
      </c>
      <c r="H1048" t="s">
        <v>46</v>
      </c>
      <c r="I1048" t="s">
        <v>47</v>
      </c>
      <c r="J1048">
        <v>132</v>
      </c>
      <c r="K1048">
        <v>81</v>
      </c>
      <c r="L1048">
        <v>67</v>
      </c>
      <c r="M1048">
        <v>1</v>
      </c>
      <c r="N1048" s="5">
        <v>3473.31</v>
      </c>
      <c r="O1048" t="s">
        <v>63</v>
      </c>
      <c r="P1048" t="str">
        <f t="shared" si="33"/>
        <v>Hospital Central de Nampula</v>
      </c>
      <c r="Q1048" t="s">
        <v>24</v>
      </c>
      <c r="R1048">
        <v>5</v>
      </c>
    </row>
    <row r="1049" spans="1:18" x14ac:dyDescent="0.45">
      <c r="A1049" t="s">
        <v>1134</v>
      </c>
      <c r="B1049" s="3">
        <v>44940</v>
      </c>
      <c r="C1049">
        <v>38</v>
      </c>
      <c r="D1049" t="s">
        <v>27</v>
      </c>
      <c r="E1049">
        <v>41.3</v>
      </c>
      <c r="F1049">
        <v>167.7</v>
      </c>
      <c r="G1049" s="4">
        <f t="shared" si="32"/>
        <v>14.685337312953076</v>
      </c>
      <c r="H1049" t="s">
        <v>41</v>
      </c>
      <c r="I1049" t="s">
        <v>161</v>
      </c>
      <c r="J1049">
        <v>107</v>
      </c>
      <c r="K1049">
        <v>61</v>
      </c>
      <c r="L1049">
        <v>95</v>
      </c>
      <c r="M1049">
        <v>1</v>
      </c>
      <c r="N1049" s="5">
        <v>2747.76</v>
      </c>
      <c r="O1049" t="s">
        <v>51</v>
      </c>
      <c r="P1049" t="str">
        <f t="shared" si="33"/>
        <v>Hospital Central de Quelimane</v>
      </c>
      <c r="Q1049" t="s">
        <v>37</v>
      </c>
      <c r="R1049">
        <v>4</v>
      </c>
    </row>
    <row r="1050" spans="1:18" x14ac:dyDescent="0.45">
      <c r="A1050" t="s">
        <v>1135</v>
      </c>
      <c r="B1050" s="3">
        <v>45367</v>
      </c>
      <c r="C1050">
        <v>44</v>
      </c>
      <c r="D1050" t="s">
        <v>27</v>
      </c>
      <c r="E1050">
        <v>53</v>
      </c>
      <c r="F1050">
        <v>170.4</v>
      </c>
      <c r="G1050" s="4">
        <f t="shared" si="32"/>
        <v>18.253102338601249</v>
      </c>
      <c r="H1050" t="s">
        <v>46</v>
      </c>
      <c r="I1050" t="s">
        <v>66</v>
      </c>
      <c r="J1050">
        <v>106</v>
      </c>
      <c r="K1050">
        <v>67</v>
      </c>
      <c r="L1050">
        <v>94</v>
      </c>
      <c r="M1050">
        <v>16</v>
      </c>
      <c r="N1050" s="5">
        <v>50427.93</v>
      </c>
      <c r="O1050" t="s">
        <v>23</v>
      </c>
      <c r="P1050" t="str">
        <f t="shared" si="33"/>
        <v>Hospital Central de Maputo</v>
      </c>
      <c r="Q1050" t="s">
        <v>24</v>
      </c>
      <c r="R1050">
        <v>4</v>
      </c>
    </row>
    <row r="1051" spans="1:18" x14ac:dyDescent="0.45">
      <c r="A1051" t="s">
        <v>1136</v>
      </c>
      <c r="B1051" s="3">
        <v>45165</v>
      </c>
      <c r="C1051">
        <v>22</v>
      </c>
      <c r="D1051" t="s">
        <v>27</v>
      </c>
      <c r="E1051">
        <v>31.9</v>
      </c>
      <c r="F1051">
        <v>170.3</v>
      </c>
      <c r="G1051" s="4">
        <f t="shared" si="32"/>
        <v>10.999207298508486</v>
      </c>
      <c r="H1051" t="s">
        <v>99</v>
      </c>
      <c r="I1051" t="s">
        <v>151</v>
      </c>
      <c r="J1051">
        <v>108</v>
      </c>
      <c r="K1051">
        <v>68</v>
      </c>
      <c r="L1051">
        <v>101</v>
      </c>
      <c r="M1051">
        <v>4</v>
      </c>
      <c r="N1051" s="5">
        <v>8272.2999999999993</v>
      </c>
      <c r="O1051" t="s">
        <v>51</v>
      </c>
      <c r="P1051" t="str">
        <f t="shared" si="33"/>
        <v>Hospital Central de Quelimane</v>
      </c>
      <c r="Q1051" t="s">
        <v>37</v>
      </c>
      <c r="R1051">
        <v>5</v>
      </c>
    </row>
    <row r="1052" spans="1:18" x14ac:dyDescent="0.45">
      <c r="A1052" t="s">
        <v>1137</v>
      </c>
      <c r="B1052" s="3">
        <v>45005</v>
      </c>
      <c r="C1052">
        <v>6</v>
      </c>
      <c r="D1052" t="s">
        <v>20</v>
      </c>
      <c r="E1052">
        <v>50.5</v>
      </c>
      <c r="F1052">
        <v>98.7</v>
      </c>
      <c r="G1052" s="4">
        <f t="shared" si="32"/>
        <v>51.839054619886284</v>
      </c>
      <c r="H1052" t="s">
        <v>28</v>
      </c>
      <c r="I1052" t="s">
        <v>75</v>
      </c>
      <c r="J1052">
        <v>88</v>
      </c>
      <c r="K1052">
        <v>55</v>
      </c>
      <c r="L1052">
        <v>108</v>
      </c>
      <c r="M1052">
        <v>5</v>
      </c>
      <c r="N1052" s="5">
        <v>15029.07</v>
      </c>
      <c r="O1052" t="s">
        <v>67</v>
      </c>
      <c r="P1052" t="str">
        <f t="shared" si="33"/>
        <v>Hospital Provincial de Pemba</v>
      </c>
      <c r="Q1052" t="s">
        <v>24</v>
      </c>
      <c r="R1052">
        <v>5</v>
      </c>
    </row>
    <row r="1053" spans="1:18" x14ac:dyDescent="0.45">
      <c r="A1053" t="s">
        <v>1138</v>
      </c>
      <c r="B1053" s="3">
        <v>45388</v>
      </c>
      <c r="C1053">
        <v>22</v>
      </c>
      <c r="D1053" t="s">
        <v>27</v>
      </c>
      <c r="E1053">
        <v>52.9</v>
      </c>
      <c r="F1053">
        <v>166.7</v>
      </c>
      <c r="G1053" s="4">
        <f t="shared" si="32"/>
        <v>19.036384684670747</v>
      </c>
      <c r="H1053" t="s">
        <v>99</v>
      </c>
      <c r="I1053" t="s">
        <v>151</v>
      </c>
      <c r="J1053">
        <v>94</v>
      </c>
      <c r="K1053">
        <v>60</v>
      </c>
      <c r="L1053">
        <v>97</v>
      </c>
      <c r="M1053">
        <v>1</v>
      </c>
      <c r="N1053" s="5">
        <v>5085.57</v>
      </c>
      <c r="O1053" t="s">
        <v>51</v>
      </c>
      <c r="P1053" t="str">
        <f t="shared" si="33"/>
        <v>Hospital Central de Quelimane</v>
      </c>
      <c r="Q1053" t="s">
        <v>37</v>
      </c>
      <c r="R1053">
        <v>5</v>
      </c>
    </row>
    <row r="1054" spans="1:18" x14ac:dyDescent="0.45">
      <c r="A1054" t="s">
        <v>1139</v>
      </c>
      <c r="B1054" s="3">
        <v>45289</v>
      </c>
      <c r="C1054">
        <v>68</v>
      </c>
      <c r="D1054" t="s">
        <v>20</v>
      </c>
      <c r="E1054">
        <v>85.8</v>
      </c>
      <c r="F1054">
        <v>169.5</v>
      </c>
      <c r="G1054" s="4">
        <f t="shared" si="32"/>
        <v>29.863993525987414</v>
      </c>
      <c r="H1054" t="s">
        <v>46</v>
      </c>
      <c r="I1054" t="s">
        <v>66</v>
      </c>
      <c r="J1054">
        <v>121</v>
      </c>
      <c r="K1054">
        <v>74</v>
      </c>
      <c r="L1054">
        <v>121</v>
      </c>
      <c r="M1054">
        <v>1</v>
      </c>
      <c r="N1054" s="5">
        <v>5471.63</v>
      </c>
      <c r="O1054" t="s">
        <v>36</v>
      </c>
      <c r="P1054" t="str">
        <f t="shared" si="33"/>
        <v>Hospital Provincial de Lichinga</v>
      </c>
      <c r="Q1054" t="s">
        <v>24</v>
      </c>
      <c r="R1054">
        <v>4</v>
      </c>
    </row>
    <row r="1055" spans="1:18" x14ac:dyDescent="0.45">
      <c r="A1055" t="s">
        <v>1140</v>
      </c>
      <c r="B1055" s="3">
        <v>45075</v>
      </c>
      <c r="C1055">
        <v>42</v>
      </c>
      <c r="D1055" t="s">
        <v>27</v>
      </c>
      <c r="E1055">
        <v>87.6</v>
      </c>
      <c r="F1055">
        <v>180.3</v>
      </c>
      <c r="G1055" s="4">
        <f t="shared" si="32"/>
        <v>26.947138389244024</v>
      </c>
      <c r="H1055" t="s">
        <v>46</v>
      </c>
      <c r="I1055" t="s">
        <v>108</v>
      </c>
      <c r="J1055">
        <v>118</v>
      </c>
      <c r="K1055">
        <v>80</v>
      </c>
      <c r="L1055">
        <v>66</v>
      </c>
      <c r="M1055">
        <v>5</v>
      </c>
      <c r="N1055" s="5">
        <v>13236.06</v>
      </c>
      <c r="O1055" t="s">
        <v>43</v>
      </c>
      <c r="P1055" t="str">
        <f t="shared" si="33"/>
        <v>Hospital Central da Beira</v>
      </c>
      <c r="Q1055" t="s">
        <v>24</v>
      </c>
      <c r="R1055">
        <v>3</v>
      </c>
    </row>
    <row r="1056" spans="1:18" x14ac:dyDescent="0.45">
      <c r="A1056" t="s">
        <v>1141</v>
      </c>
      <c r="B1056" s="3">
        <v>44995</v>
      </c>
      <c r="C1056">
        <v>44</v>
      </c>
      <c r="D1056" t="s">
        <v>27</v>
      </c>
      <c r="E1056">
        <v>63.1</v>
      </c>
      <c r="F1056">
        <v>169.1</v>
      </c>
      <c r="G1056" s="4">
        <f t="shared" si="32"/>
        <v>22.066941518408417</v>
      </c>
      <c r="H1056" t="s">
        <v>91</v>
      </c>
      <c r="I1056" t="s">
        <v>116</v>
      </c>
      <c r="J1056">
        <v>130</v>
      </c>
      <c r="K1056">
        <v>82</v>
      </c>
      <c r="L1056">
        <v>79</v>
      </c>
      <c r="M1056">
        <v>3</v>
      </c>
      <c r="N1056" s="5">
        <v>5999.73</v>
      </c>
      <c r="O1056" t="s">
        <v>57</v>
      </c>
      <c r="P1056" t="str">
        <f t="shared" si="33"/>
        <v>Hospital Provincial de Tete</v>
      </c>
      <c r="Q1056" t="s">
        <v>24</v>
      </c>
      <c r="R1056">
        <v>5</v>
      </c>
    </row>
    <row r="1057" spans="1:18" x14ac:dyDescent="0.45">
      <c r="A1057" t="s">
        <v>1142</v>
      </c>
      <c r="B1057" s="3">
        <v>45492</v>
      </c>
      <c r="C1057">
        <v>26</v>
      </c>
      <c r="D1057" t="s">
        <v>20</v>
      </c>
      <c r="E1057">
        <v>64.900000000000006</v>
      </c>
      <c r="F1057">
        <v>149.1</v>
      </c>
      <c r="G1057" s="4">
        <f t="shared" si="32"/>
        <v>29.193718087645038</v>
      </c>
      <c r="H1057" t="s">
        <v>21</v>
      </c>
      <c r="I1057" t="s">
        <v>123</v>
      </c>
      <c r="J1057">
        <v>126</v>
      </c>
      <c r="K1057">
        <v>82</v>
      </c>
      <c r="L1057">
        <v>104</v>
      </c>
      <c r="M1057">
        <v>2</v>
      </c>
      <c r="N1057" s="5">
        <v>8150.74</v>
      </c>
      <c r="O1057" t="s">
        <v>51</v>
      </c>
      <c r="P1057" t="str">
        <f t="shared" si="33"/>
        <v>Hospital Central de Quelimane</v>
      </c>
      <c r="Q1057" t="s">
        <v>37</v>
      </c>
      <c r="R1057">
        <v>4</v>
      </c>
    </row>
    <row r="1058" spans="1:18" x14ac:dyDescent="0.45">
      <c r="A1058" t="s">
        <v>1143</v>
      </c>
      <c r="B1058" s="3">
        <v>45362</v>
      </c>
      <c r="C1058">
        <v>27</v>
      </c>
      <c r="D1058" t="s">
        <v>27</v>
      </c>
      <c r="E1058">
        <v>74.400000000000006</v>
      </c>
      <c r="F1058">
        <v>150.9</v>
      </c>
      <c r="G1058" s="4">
        <f t="shared" si="32"/>
        <v>32.673409509806632</v>
      </c>
      <c r="H1058" t="s">
        <v>99</v>
      </c>
      <c r="I1058" t="s">
        <v>151</v>
      </c>
      <c r="J1058">
        <v>110</v>
      </c>
      <c r="K1058">
        <v>65</v>
      </c>
      <c r="L1058">
        <v>84</v>
      </c>
      <c r="M1058">
        <v>2</v>
      </c>
      <c r="N1058" s="5">
        <v>5054.6899999999996</v>
      </c>
      <c r="O1058" t="s">
        <v>23</v>
      </c>
      <c r="P1058" t="str">
        <f t="shared" si="33"/>
        <v>Hospital Central de Maputo</v>
      </c>
      <c r="Q1058" t="s">
        <v>24</v>
      </c>
      <c r="R1058">
        <v>2</v>
      </c>
    </row>
    <row r="1059" spans="1:18" x14ac:dyDescent="0.45">
      <c r="A1059" t="s">
        <v>1144</v>
      </c>
      <c r="B1059" s="3">
        <v>45018</v>
      </c>
      <c r="C1059">
        <v>42</v>
      </c>
      <c r="D1059" t="s">
        <v>27</v>
      </c>
      <c r="E1059">
        <v>72.5</v>
      </c>
      <c r="F1059">
        <v>167.3</v>
      </c>
      <c r="G1059" s="4">
        <f t="shared" si="32"/>
        <v>25.902764950450688</v>
      </c>
      <c r="H1059" t="s">
        <v>46</v>
      </c>
      <c r="I1059" t="s">
        <v>94</v>
      </c>
      <c r="J1059">
        <v>101</v>
      </c>
      <c r="K1059">
        <v>59</v>
      </c>
      <c r="L1059">
        <v>84</v>
      </c>
      <c r="M1059">
        <v>1</v>
      </c>
      <c r="N1059" s="5">
        <v>3126.36</v>
      </c>
      <c r="O1059" t="s">
        <v>36</v>
      </c>
      <c r="P1059" t="str">
        <f t="shared" si="33"/>
        <v>Hospital Provincial de Lichinga</v>
      </c>
      <c r="Q1059" t="s">
        <v>76</v>
      </c>
      <c r="R1059">
        <v>4</v>
      </c>
    </row>
    <row r="1060" spans="1:18" x14ac:dyDescent="0.45">
      <c r="A1060" t="s">
        <v>1145</v>
      </c>
      <c r="B1060" s="3">
        <v>45438</v>
      </c>
      <c r="C1060">
        <v>54</v>
      </c>
      <c r="D1060" t="s">
        <v>20</v>
      </c>
      <c r="E1060">
        <v>78.400000000000006</v>
      </c>
      <c r="F1060">
        <v>143.30000000000001</v>
      </c>
      <c r="G1060" s="4">
        <f t="shared" si="32"/>
        <v>38.178923773149016</v>
      </c>
      <c r="H1060" t="s">
        <v>91</v>
      </c>
      <c r="I1060" t="s">
        <v>110</v>
      </c>
      <c r="J1060">
        <v>120</v>
      </c>
      <c r="K1060">
        <v>72</v>
      </c>
      <c r="L1060">
        <v>90</v>
      </c>
      <c r="M1060">
        <v>3</v>
      </c>
      <c r="N1060" s="5">
        <v>10196.58</v>
      </c>
      <c r="O1060" t="s">
        <v>23</v>
      </c>
      <c r="P1060" t="str">
        <f t="shared" si="33"/>
        <v>Hospital Central de Maputo</v>
      </c>
      <c r="Q1060" t="s">
        <v>37</v>
      </c>
      <c r="R1060">
        <v>1</v>
      </c>
    </row>
    <row r="1061" spans="1:18" x14ac:dyDescent="0.45">
      <c r="A1061" t="s">
        <v>1146</v>
      </c>
      <c r="B1061" s="3">
        <v>45162</v>
      </c>
      <c r="C1061">
        <v>39</v>
      </c>
      <c r="D1061" t="s">
        <v>27</v>
      </c>
      <c r="E1061">
        <v>52.6</v>
      </c>
      <c r="F1061">
        <v>164.4</v>
      </c>
      <c r="G1061" s="4">
        <f t="shared" si="32"/>
        <v>19.461760231113953</v>
      </c>
      <c r="H1061" t="s">
        <v>99</v>
      </c>
      <c r="I1061" t="s">
        <v>100</v>
      </c>
      <c r="J1061">
        <v>118</v>
      </c>
      <c r="K1061">
        <v>74</v>
      </c>
      <c r="L1061">
        <v>91</v>
      </c>
      <c r="M1061">
        <v>7</v>
      </c>
      <c r="N1061" s="5">
        <v>19199.84</v>
      </c>
      <c r="O1061" t="s">
        <v>67</v>
      </c>
      <c r="P1061" t="str">
        <f t="shared" si="33"/>
        <v>Hospital Provincial de Pemba</v>
      </c>
      <c r="Q1061" t="s">
        <v>24</v>
      </c>
      <c r="R1061">
        <v>5</v>
      </c>
    </row>
    <row r="1062" spans="1:18" x14ac:dyDescent="0.45">
      <c r="A1062" t="s">
        <v>1147</v>
      </c>
      <c r="B1062" s="3">
        <v>45051</v>
      </c>
      <c r="C1062">
        <v>42</v>
      </c>
      <c r="D1062" t="s">
        <v>20</v>
      </c>
      <c r="E1062">
        <v>66.900000000000006</v>
      </c>
      <c r="F1062">
        <v>157.69999999999999</v>
      </c>
      <c r="G1062" s="4">
        <f t="shared" si="32"/>
        <v>26.900647344576385</v>
      </c>
      <c r="H1062" t="s">
        <v>55</v>
      </c>
      <c r="I1062" t="s">
        <v>56</v>
      </c>
      <c r="J1062">
        <v>107</v>
      </c>
      <c r="K1062">
        <v>70</v>
      </c>
      <c r="L1062">
        <v>83</v>
      </c>
      <c r="M1062">
        <v>3</v>
      </c>
      <c r="N1062" s="5">
        <v>13221.65</v>
      </c>
      <c r="O1062" t="s">
        <v>51</v>
      </c>
      <c r="P1062" t="str">
        <f t="shared" si="33"/>
        <v>Hospital Central de Quelimane</v>
      </c>
      <c r="Q1062" t="s">
        <v>24</v>
      </c>
      <c r="R1062">
        <v>4</v>
      </c>
    </row>
    <row r="1063" spans="1:18" x14ac:dyDescent="0.45">
      <c r="A1063" t="s">
        <v>1148</v>
      </c>
      <c r="B1063" s="3">
        <v>44975</v>
      </c>
      <c r="C1063">
        <v>17</v>
      </c>
      <c r="D1063" t="s">
        <v>27</v>
      </c>
      <c r="E1063">
        <v>73.7</v>
      </c>
      <c r="F1063">
        <v>165.6</v>
      </c>
      <c r="G1063" s="4">
        <f t="shared" si="32"/>
        <v>26.87489789726715</v>
      </c>
      <c r="H1063" t="s">
        <v>28</v>
      </c>
      <c r="I1063" t="s">
        <v>75</v>
      </c>
      <c r="J1063">
        <v>117</v>
      </c>
      <c r="K1063">
        <v>66</v>
      </c>
      <c r="L1063">
        <v>103</v>
      </c>
      <c r="M1063">
        <v>1</v>
      </c>
      <c r="N1063" s="5">
        <v>4353.2700000000004</v>
      </c>
      <c r="O1063" t="s">
        <v>23</v>
      </c>
      <c r="P1063" t="str">
        <f t="shared" si="33"/>
        <v>Hospital Central de Maputo</v>
      </c>
      <c r="Q1063" t="s">
        <v>37</v>
      </c>
      <c r="R1063">
        <v>4</v>
      </c>
    </row>
    <row r="1064" spans="1:18" x14ac:dyDescent="0.45">
      <c r="A1064" t="s">
        <v>1149</v>
      </c>
      <c r="B1064" s="3">
        <v>45113</v>
      </c>
      <c r="C1064">
        <v>18</v>
      </c>
      <c r="D1064" t="s">
        <v>20</v>
      </c>
      <c r="E1064">
        <v>53.7</v>
      </c>
      <c r="F1064">
        <v>183.8</v>
      </c>
      <c r="G1064" s="4">
        <f t="shared" si="32"/>
        <v>15.895832272624475</v>
      </c>
      <c r="H1064" t="s">
        <v>91</v>
      </c>
      <c r="I1064" t="s">
        <v>116</v>
      </c>
      <c r="J1064">
        <v>96</v>
      </c>
      <c r="K1064">
        <v>56</v>
      </c>
      <c r="L1064">
        <v>90</v>
      </c>
      <c r="M1064">
        <v>4</v>
      </c>
      <c r="N1064" s="5">
        <v>11224.96</v>
      </c>
      <c r="O1064" t="s">
        <v>51</v>
      </c>
      <c r="P1064" t="str">
        <f t="shared" si="33"/>
        <v>Hospital Central de Quelimane</v>
      </c>
      <c r="Q1064" t="s">
        <v>24</v>
      </c>
      <c r="R1064">
        <v>2</v>
      </c>
    </row>
    <row r="1065" spans="1:18" x14ac:dyDescent="0.45">
      <c r="A1065" t="s">
        <v>1150</v>
      </c>
      <c r="B1065" s="3">
        <v>44940</v>
      </c>
      <c r="C1065">
        <v>39</v>
      </c>
      <c r="D1065" t="s">
        <v>27</v>
      </c>
      <c r="E1065">
        <v>50.1</v>
      </c>
      <c r="F1065">
        <v>172.5</v>
      </c>
      <c r="G1065" s="4">
        <f t="shared" si="32"/>
        <v>16.836798991808443</v>
      </c>
      <c r="H1065" t="s">
        <v>34</v>
      </c>
      <c r="I1065" t="s">
        <v>126</v>
      </c>
      <c r="J1065">
        <v>108</v>
      </c>
      <c r="K1065">
        <v>55</v>
      </c>
      <c r="L1065">
        <v>139</v>
      </c>
      <c r="M1065">
        <v>1</v>
      </c>
      <c r="N1065" s="5">
        <v>3532.33</v>
      </c>
      <c r="O1065" t="s">
        <v>43</v>
      </c>
      <c r="P1065" t="str">
        <f t="shared" si="33"/>
        <v>Hospital Central da Beira</v>
      </c>
      <c r="Q1065" t="s">
        <v>37</v>
      </c>
      <c r="R1065">
        <v>5</v>
      </c>
    </row>
    <row r="1066" spans="1:18" x14ac:dyDescent="0.45">
      <c r="A1066" t="s">
        <v>1151</v>
      </c>
      <c r="B1066" s="3">
        <v>45202</v>
      </c>
      <c r="C1066">
        <v>20</v>
      </c>
      <c r="D1066" t="s">
        <v>27</v>
      </c>
      <c r="E1066">
        <v>75.400000000000006</v>
      </c>
      <c r="F1066">
        <v>155.19999999999999</v>
      </c>
      <c r="G1066" s="4">
        <f t="shared" si="32"/>
        <v>31.303140610054214</v>
      </c>
      <c r="H1066" t="s">
        <v>21</v>
      </c>
      <c r="I1066" t="s">
        <v>22</v>
      </c>
      <c r="J1066">
        <v>137</v>
      </c>
      <c r="K1066">
        <v>90</v>
      </c>
      <c r="L1066">
        <v>94</v>
      </c>
      <c r="M1066">
        <v>1</v>
      </c>
      <c r="N1066" s="5">
        <v>4919.18</v>
      </c>
      <c r="O1066" t="s">
        <v>43</v>
      </c>
      <c r="P1066" t="str">
        <f t="shared" si="33"/>
        <v>Hospital Central da Beira</v>
      </c>
      <c r="Q1066" t="s">
        <v>24</v>
      </c>
      <c r="R1066">
        <v>4</v>
      </c>
    </row>
    <row r="1067" spans="1:18" x14ac:dyDescent="0.45">
      <c r="A1067" t="s">
        <v>1152</v>
      </c>
      <c r="B1067" s="3">
        <v>44942</v>
      </c>
      <c r="C1067">
        <v>58</v>
      </c>
      <c r="D1067" t="s">
        <v>20</v>
      </c>
      <c r="E1067">
        <v>70.7</v>
      </c>
      <c r="F1067">
        <v>140</v>
      </c>
      <c r="G1067" s="4">
        <f t="shared" si="32"/>
        <v>36.071428571428577</v>
      </c>
      <c r="H1067" t="s">
        <v>55</v>
      </c>
      <c r="I1067" t="s">
        <v>80</v>
      </c>
      <c r="J1067">
        <v>115</v>
      </c>
      <c r="K1067">
        <v>65</v>
      </c>
      <c r="L1067">
        <v>78</v>
      </c>
      <c r="M1067">
        <v>1</v>
      </c>
      <c r="N1067" s="5">
        <v>4920.0200000000004</v>
      </c>
      <c r="O1067" t="s">
        <v>43</v>
      </c>
      <c r="P1067" t="str">
        <f t="shared" si="33"/>
        <v>Hospital Central da Beira</v>
      </c>
      <c r="Q1067" t="s">
        <v>24</v>
      </c>
      <c r="R1067">
        <v>4</v>
      </c>
    </row>
    <row r="1068" spans="1:18" x14ac:dyDescent="0.45">
      <c r="A1068" t="s">
        <v>1153</v>
      </c>
      <c r="B1068" s="3">
        <v>45313</v>
      </c>
      <c r="C1068">
        <v>27</v>
      </c>
      <c r="D1068" t="s">
        <v>20</v>
      </c>
      <c r="E1068">
        <v>84.5</v>
      </c>
      <c r="F1068">
        <v>178.1</v>
      </c>
      <c r="G1068" s="4">
        <f t="shared" si="32"/>
        <v>26.639671799243438</v>
      </c>
      <c r="H1068" t="s">
        <v>46</v>
      </c>
      <c r="I1068" t="s">
        <v>94</v>
      </c>
      <c r="J1068">
        <v>127</v>
      </c>
      <c r="K1068">
        <v>87</v>
      </c>
      <c r="L1068">
        <v>90</v>
      </c>
      <c r="M1068">
        <v>7</v>
      </c>
      <c r="N1068" s="5">
        <v>18849.73</v>
      </c>
      <c r="O1068" t="s">
        <v>63</v>
      </c>
      <c r="P1068" t="str">
        <f t="shared" si="33"/>
        <v>Hospital Central de Nampula</v>
      </c>
      <c r="Q1068" t="s">
        <v>24</v>
      </c>
      <c r="R1068">
        <v>1</v>
      </c>
    </row>
    <row r="1069" spans="1:18" x14ac:dyDescent="0.45">
      <c r="A1069" t="s">
        <v>1154</v>
      </c>
      <c r="B1069" s="3">
        <v>45007</v>
      </c>
      <c r="C1069">
        <v>22</v>
      </c>
      <c r="D1069" t="s">
        <v>20</v>
      </c>
      <c r="E1069">
        <v>52.6</v>
      </c>
      <c r="F1069">
        <v>182.6</v>
      </c>
      <c r="G1069" s="4">
        <f t="shared" si="32"/>
        <v>15.775538677661959</v>
      </c>
      <c r="H1069" t="s">
        <v>46</v>
      </c>
      <c r="I1069" t="s">
        <v>108</v>
      </c>
      <c r="J1069">
        <v>111</v>
      </c>
      <c r="K1069">
        <v>63</v>
      </c>
      <c r="L1069">
        <v>65</v>
      </c>
      <c r="M1069">
        <v>1</v>
      </c>
      <c r="N1069" s="5">
        <v>3520.75</v>
      </c>
      <c r="O1069" t="s">
        <v>23</v>
      </c>
      <c r="P1069" t="str">
        <f t="shared" si="33"/>
        <v>Hospital Central de Maputo</v>
      </c>
      <c r="Q1069" t="s">
        <v>24</v>
      </c>
      <c r="R1069">
        <v>4</v>
      </c>
    </row>
    <row r="1070" spans="1:18" x14ac:dyDescent="0.45">
      <c r="A1070" t="s">
        <v>1155</v>
      </c>
      <c r="B1070" s="3">
        <v>45321</v>
      </c>
      <c r="C1070">
        <v>35</v>
      </c>
      <c r="D1070" t="s">
        <v>20</v>
      </c>
      <c r="E1070">
        <v>58.4</v>
      </c>
      <c r="F1070">
        <v>147.5</v>
      </c>
      <c r="G1070" s="4">
        <f t="shared" si="32"/>
        <v>26.842861246768166</v>
      </c>
      <c r="H1070" t="s">
        <v>46</v>
      </c>
      <c r="I1070" t="s">
        <v>47</v>
      </c>
      <c r="J1070">
        <v>109</v>
      </c>
      <c r="K1070">
        <v>64</v>
      </c>
      <c r="L1070">
        <v>113</v>
      </c>
      <c r="M1070">
        <v>2</v>
      </c>
      <c r="N1070" s="5">
        <v>3859.19</v>
      </c>
      <c r="O1070" t="s">
        <v>31</v>
      </c>
      <c r="P1070" t="str">
        <f t="shared" si="33"/>
        <v>Hospital Provincial da Matola</v>
      </c>
      <c r="Q1070" t="s">
        <v>24</v>
      </c>
      <c r="R1070">
        <v>4</v>
      </c>
    </row>
    <row r="1071" spans="1:18" x14ac:dyDescent="0.45">
      <c r="A1071" t="s">
        <v>1156</v>
      </c>
      <c r="B1071" s="3">
        <v>45451</v>
      </c>
      <c r="C1071">
        <v>52</v>
      </c>
      <c r="D1071" t="s">
        <v>20</v>
      </c>
      <c r="E1071">
        <v>52.7</v>
      </c>
      <c r="F1071">
        <v>161.4</v>
      </c>
      <c r="G1071" s="4">
        <f t="shared" si="32"/>
        <v>20.230357359473871</v>
      </c>
      <c r="H1071" t="s">
        <v>41</v>
      </c>
      <c r="I1071" t="s">
        <v>42</v>
      </c>
      <c r="J1071">
        <v>125</v>
      </c>
      <c r="K1071">
        <v>76</v>
      </c>
      <c r="L1071">
        <v>65</v>
      </c>
      <c r="M1071">
        <v>1</v>
      </c>
      <c r="N1071" s="5">
        <v>3557.56</v>
      </c>
      <c r="O1071" t="s">
        <v>43</v>
      </c>
      <c r="P1071" t="str">
        <f t="shared" si="33"/>
        <v>Hospital Central da Beira</v>
      </c>
      <c r="Q1071" t="s">
        <v>24</v>
      </c>
      <c r="R1071">
        <v>1</v>
      </c>
    </row>
    <row r="1072" spans="1:18" x14ac:dyDescent="0.45">
      <c r="A1072" t="s">
        <v>1157</v>
      </c>
      <c r="B1072" s="3">
        <v>45518</v>
      </c>
      <c r="C1072">
        <v>29</v>
      </c>
      <c r="D1072" t="s">
        <v>20</v>
      </c>
      <c r="E1072">
        <v>64</v>
      </c>
      <c r="F1072">
        <v>162.9</v>
      </c>
      <c r="G1072" s="4">
        <f t="shared" si="32"/>
        <v>24.117806440283371</v>
      </c>
      <c r="H1072" t="s">
        <v>21</v>
      </c>
      <c r="I1072" t="s">
        <v>123</v>
      </c>
      <c r="J1072">
        <v>86</v>
      </c>
      <c r="K1072">
        <v>55</v>
      </c>
      <c r="L1072">
        <v>113</v>
      </c>
      <c r="M1072">
        <v>1</v>
      </c>
      <c r="N1072" s="5">
        <v>4180.22</v>
      </c>
      <c r="O1072" t="s">
        <v>38</v>
      </c>
      <c r="P1072" t="str">
        <f t="shared" si="33"/>
        <v>Hospital Provincial de Xai-Xai</v>
      </c>
      <c r="Q1072" t="s">
        <v>24</v>
      </c>
      <c r="R1072">
        <v>3</v>
      </c>
    </row>
    <row r="1073" spans="1:18" x14ac:dyDescent="0.45">
      <c r="A1073" t="s">
        <v>1158</v>
      </c>
      <c r="B1073" s="3">
        <v>45066</v>
      </c>
      <c r="C1073">
        <v>30</v>
      </c>
      <c r="D1073" t="s">
        <v>27</v>
      </c>
      <c r="E1073">
        <v>63.3</v>
      </c>
      <c r="F1073">
        <v>173.6</v>
      </c>
      <c r="G1073" s="4">
        <f t="shared" si="32"/>
        <v>21.00410923994988</v>
      </c>
      <c r="H1073" t="s">
        <v>99</v>
      </c>
      <c r="I1073" t="s">
        <v>100</v>
      </c>
      <c r="J1073">
        <v>126</v>
      </c>
      <c r="K1073">
        <v>74</v>
      </c>
      <c r="L1073">
        <v>117</v>
      </c>
      <c r="M1073">
        <v>1</v>
      </c>
      <c r="N1073" s="5">
        <v>3139.32</v>
      </c>
      <c r="O1073" t="s">
        <v>51</v>
      </c>
      <c r="P1073" t="str">
        <f t="shared" si="33"/>
        <v>Hospital Central de Quelimane</v>
      </c>
      <c r="Q1073" t="s">
        <v>37</v>
      </c>
      <c r="R1073">
        <v>4</v>
      </c>
    </row>
    <row r="1074" spans="1:18" x14ac:dyDescent="0.45">
      <c r="A1074" t="s">
        <v>1159</v>
      </c>
      <c r="B1074" s="3">
        <v>45091</v>
      </c>
      <c r="C1074">
        <v>18</v>
      </c>
      <c r="D1074" t="s">
        <v>27</v>
      </c>
      <c r="E1074">
        <v>84.5</v>
      </c>
      <c r="F1074">
        <v>187.2</v>
      </c>
      <c r="G1074" s="4">
        <f t="shared" si="32"/>
        <v>24.112654320987659</v>
      </c>
      <c r="H1074" t="s">
        <v>46</v>
      </c>
      <c r="I1074" t="s">
        <v>94</v>
      </c>
      <c r="J1074">
        <v>132</v>
      </c>
      <c r="K1074">
        <v>88</v>
      </c>
      <c r="L1074">
        <v>65</v>
      </c>
      <c r="M1074">
        <v>5</v>
      </c>
      <c r="N1074" s="5">
        <v>5376.16</v>
      </c>
      <c r="O1074" t="s">
        <v>63</v>
      </c>
      <c r="P1074" t="str">
        <f t="shared" si="33"/>
        <v>Hospital Central de Nampula</v>
      </c>
      <c r="Q1074" t="s">
        <v>202</v>
      </c>
      <c r="R1074">
        <v>4</v>
      </c>
    </row>
    <row r="1075" spans="1:18" x14ac:dyDescent="0.45">
      <c r="A1075" t="s">
        <v>1160</v>
      </c>
      <c r="B1075" s="3">
        <v>44987</v>
      </c>
      <c r="C1075">
        <v>27</v>
      </c>
      <c r="D1075" t="s">
        <v>20</v>
      </c>
      <c r="E1075">
        <v>61.4</v>
      </c>
      <c r="F1075">
        <v>175.2</v>
      </c>
      <c r="G1075" s="4">
        <f t="shared" si="32"/>
        <v>20.003231792498074</v>
      </c>
      <c r="H1075" t="s">
        <v>21</v>
      </c>
      <c r="I1075" t="s">
        <v>123</v>
      </c>
      <c r="J1075">
        <v>124</v>
      </c>
      <c r="K1075">
        <v>66</v>
      </c>
      <c r="L1075">
        <v>114</v>
      </c>
      <c r="M1075">
        <v>1</v>
      </c>
      <c r="N1075" s="5">
        <v>2178.34</v>
      </c>
      <c r="O1075" t="s">
        <v>63</v>
      </c>
      <c r="P1075" t="str">
        <f t="shared" si="33"/>
        <v>Hospital Central de Nampula</v>
      </c>
      <c r="Q1075" t="s">
        <v>24</v>
      </c>
      <c r="R1075">
        <v>3</v>
      </c>
    </row>
    <row r="1076" spans="1:18" x14ac:dyDescent="0.45">
      <c r="A1076" t="s">
        <v>1161</v>
      </c>
      <c r="B1076" s="3">
        <v>45378</v>
      </c>
      <c r="C1076">
        <v>36</v>
      </c>
      <c r="D1076" t="s">
        <v>27</v>
      </c>
      <c r="E1076">
        <v>66.900000000000006</v>
      </c>
      <c r="F1076">
        <v>163.69999999999999</v>
      </c>
      <c r="G1076" s="4">
        <f t="shared" si="32"/>
        <v>24.964838387189353</v>
      </c>
      <c r="H1076" t="s">
        <v>99</v>
      </c>
      <c r="I1076" t="s">
        <v>103</v>
      </c>
      <c r="J1076">
        <v>125</v>
      </c>
      <c r="K1076">
        <v>80</v>
      </c>
      <c r="L1076">
        <v>88</v>
      </c>
      <c r="M1076">
        <v>12</v>
      </c>
      <c r="N1076" s="5">
        <v>20649.400000000001</v>
      </c>
      <c r="O1076" t="s">
        <v>36</v>
      </c>
      <c r="P1076" t="str">
        <f t="shared" si="33"/>
        <v>Hospital Provincial de Lichinga</v>
      </c>
      <c r="Q1076" t="s">
        <v>24</v>
      </c>
      <c r="R1076">
        <v>4</v>
      </c>
    </row>
    <row r="1077" spans="1:18" x14ac:dyDescent="0.45">
      <c r="A1077" t="s">
        <v>1162</v>
      </c>
      <c r="B1077" s="3">
        <v>45246</v>
      </c>
      <c r="C1077">
        <v>40</v>
      </c>
      <c r="D1077" t="s">
        <v>27</v>
      </c>
      <c r="E1077">
        <v>57.9</v>
      </c>
      <c r="F1077">
        <v>164.8</v>
      </c>
      <c r="G1077" s="4">
        <f t="shared" si="32"/>
        <v>21.318868413611082</v>
      </c>
      <c r="H1077" t="s">
        <v>46</v>
      </c>
      <c r="I1077" t="s">
        <v>94</v>
      </c>
      <c r="J1077">
        <v>103</v>
      </c>
      <c r="K1077">
        <v>61</v>
      </c>
      <c r="L1077">
        <v>70</v>
      </c>
      <c r="M1077">
        <v>8</v>
      </c>
      <c r="N1077" s="5">
        <v>15790.77</v>
      </c>
      <c r="O1077" t="s">
        <v>38</v>
      </c>
      <c r="P1077" t="str">
        <f t="shared" si="33"/>
        <v>Hospital Provincial de Xai-Xai</v>
      </c>
      <c r="Q1077" t="s">
        <v>202</v>
      </c>
      <c r="R1077">
        <v>5</v>
      </c>
    </row>
    <row r="1078" spans="1:18" x14ac:dyDescent="0.45">
      <c r="A1078" t="s">
        <v>1163</v>
      </c>
      <c r="B1078" s="3">
        <v>45350</v>
      </c>
      <c r="C1078">
        <v>25</v>
      </c>
      <c r="D1078" t="s">
        <v>20</v>
      </c>
      <c r="E1078">
        <v>62.9</v>
      </c>
      <c r="F1078">
        <v>169</v>
      </c>
      <c r="G1078" s="4">
        <f t="shared" si="32"/>
        <v>22.023038409019293</v>
      </c>
      <c r="H1078" t="s">
        <v>34</v>
      </c>
      <c r="I1078" t="s">
        <v>138</v>
      </c>
      <c r="J1078">
        <v>104</v>
      </c>
      <c r="K1078">
        <v>71</v>
      </c>
      <c r="L1078">
        <v>95</v>
      </c>
      <c r="M1078">
        <v>5</v>
      </c>
      <c r="N1078" s="5">
        <v>6538.6</v>
      </c>
      <c r="O1078" t="s">
        <v>31</v>
      </c>
      <c r="P1078" t="str">
        <f t="shared" si="33"/>
        <v>Hospital Provincial da Matola</v>
      </c>
      <c r="Q1078" t="s">
        <v>24</v>
      </c>
      <c r="R1078">
        <v>4</v>
      </c>
    </row>
    <row r="1079" spans="1:18" x14ac:dyDescent="0.45">
      <c r="A1079" t="s">
        <v>1164</v>
      </c>
      <c r="B1079" s="3">
        <v>45339</v>
      </c>
      <c r="C1079">
        <v>66</v>
      </c>
      <c r="D1079" t="s">
        <v>20</v>
      </c>
      <c r="E1079">
        <v>66</v>
      </c>
      <c r="F1079">
        <v>155.6</v>
      </c>
      <c r="G1079" s="4">
        <f t="shared" si="32"/>
        <v>27.259930875423766</v>
      </c>
      <c r="H1079" t="s">
        <v>46</v>
      </c>
      <c r="I1079" t="s">
        <v>47</v>
      </c>
      <c r="J1079">
        <v>147</v>
      </c>
      <c r="K1079">
        <v>89</v>
      </c>
      <c r="L1079">
        <v>89</v>
      </c>
      <c r="M1079">
        <v>2</v>
      </c>
      <c r="N1079" s="5">
        <v>7204.09</v>
      </c>
      <c r="O1079" t="s">
        <v>63</v>
      </c>
      <c r="P1079" t="str">
        <f t="shared" si="33"/>
        <v>Hospital Central de Nampula</v>
      </c>
      <c r="Q1079" t="s">
        <v>24</v>
      </c>
      <c r="R1079">
        <v>4</v>
      </c>
    </row>
    <row r="1080" spans="1:18" x14ac:dyDescent="0.45">
      <c r="A1080" t="s">
        <v>1165</v>
      </c>
      <c r="B1080" s="3">
        <v>45342</v>
      </c>
      <c r="C1080">
        <v>19</v>
      </c>
      <c r="D1080" t="s">
        <v>27</v>
      </c>
      <c r="E1080">
        <v>67.099999999999994</v>
      </c>
      <c r="F1080">
        <v>172.2</v>
      </c>
      <c r="G1080" s="4">
        <f t="shared" si="32"/>
        <v>22.628523945767082</v>
      </c>
      <c r="H1080" t="s">
        <v>34</v>
      </c>
      <c r="I1080" t="s">
        <v>35</v>
      </c>
      <c r="J1080">
        <v>112</v>
      </c>
      <c r="K1080">
        <v>76</v>
      </c>
      <c r="L1080">
        <v>148</v>
      </c>
      <c r="M1080">
        <v>8</v>
      </c>
      <c r="N1080" s="5">
        <v>26489.94</v>
      </c>
      <c r="O1080" t="s">
        <v>52</v>
      </c>
      <c r="P1080" t="str">
        <f t="shared" si="33"/>
        <v>Hospital Provincial de Chimoio</v>
      </c>
      <c r="Q1080" t="s">
        <v>76</v>
      </c>
      <c r="R1080">
        <v>4</v>
      </c>
    </row>
    <row r="1081" spans="1:18" x14ac:dyDescent="0.45">
      <c r="A1081" t="s">
        <v>1166</v>
      </c>
      <c r="B1081" s="3">
        <v>45160</v>
      </c>
      <c r="C1081">
        <v>34</v>
      </c>
      <c r="D1081" t="s">
        <v>27</v>
      </c>
      <c r="E1081">
        <v>67.599999999999994</v>
      </c>
      <c r="F1081">
        <v>158.9</v>
      </c>
      <c r="G1081" s="4">
        <f t="shared" si="32"/>
        <v>26.773114881614116</v>
      </c>
      <c r="H1081" t="s">
        <v>34</v>
      </c>
      <c r="I1081" t="s">
        <v>126</v>
      </c>
      <c r="J1081">
        <v>123</v>
      </c>
      <c r="K1081">
        <v>77</v>
      </c>
      <c r="L1081">
        <v>71</v>
      </c>
      <c r="M1081">
        <v>1</v>
      </c>
      <c r="N1081" s="5">
        <v>2731.61</v>
      </c>
      <c r="O1081" t="s">
        <v>57</v>
      </c>
      <c r="P1081" t="str">
        <f t="shared" si="33"/>
        <v>Hospital Provincial de Tete</v>
      </c>
      <c r="Q1081" t="s">
        <v>24</v>
      </c>
      <c r="R1081">
        <v>4</v>
      </c>
    </row>
    <row r="1082" spans="1:18" x14ac:dyDescent="0.45">
      <c r="A1082" t="s">
        <v>1167</v>
      </c>
      <c r="B1082" s="3">
        <v>45333</v>
      </c>
      <c r="C1082">
        <v>5</v>
      </c>
      <c r="D1082" t="s">
        <v>20</v>
      </c>
      <c r="E1082">
        <v>13.6</v>
      </c>
      <c r="F1082">
        <v>113.7</v>
      </c>
      <c r="G1082" s="4">
        <f t="shared" si="32"/>
        <v>10.520054240162008</v>
      </c>
      <c r="H1082" t="s">
        <v>28</v>
      </c>
      <c r="I1082" t="s">
        <v>29</v>
      </c>
      <c r="J1082">
        <v>93</v>
      </c>
      <c r="K1082">
        <v>55</v>
      </c>
      <c r="L1082">
        <v>113</v>
      </c>
      <c r="M1082">
        <v>1</v>
      </c>
      <c r="N1082" s="5">
        <v>4804.28</v>
      </c>
      <c r="O1082" t="s">
        <v>51</v>
      </c>
      <c r="P1082" t="str">
        <f t="shared" si="33"/>
        <v>Hospital Central de Quelimane</v>
      </c>
      <c r="Q1082" t="s">
        <v>24</v>
      </c>
      <c r="R1082">
        <v>4</v>
      </c>
    </row>
    <row r="1083" spans="1:18" x14ac:dyDescent="0.45">
      <c r="A1083" t="s">
        <v>1168</v>
      </c>
      <c r="B1083" s="3">
        <v>45166</v>
      </c>
      <c r="C1083">
        <v>56</v>
      </c>
      <c r="D1083" t="s">
        <v>20</v>
      </c>
      <c r="E1083">
        <v>93.1</v>
      </c>
      <c r="F1083">
        <v>162.80000000000001</v>
      </c>
      <c r="G1083" s="4">
        <f t="shared" si="32"/>
        <v>35.12698537268561</v>
      </c>
      <c r="H1083" t="s">
        <v>34</v>
      </c>
      <c r="I1083" t="s">
        <v>35</v>
      </c>
      <c r="J1083">
        <v>142</v>
      </c>
      <c r="K1083">
        <v>93</v>
      </c>
      <c r="L1083">
        <v>93</v>
      </c>
      <c r="M1083">
        <v>1</v>
      </c>
      <c r="N1083" s="5">
        <v>5781.72</v>
      </c>
      <c r="O1083" t="s">
        <v>23</v>
      </c>
      <c r="P1083" t="str">
        <f t="shared" si="33"/>
        <v>Hospital Central de Maputo</v>
      </c>
      <c r="Q1083" t="s">
        <v>24</v>
      </c>
      <c r="R1083">
        <v>3</v>
      </c>
    </row>
    <row r="1084" spans="1:18" x14ac:dyDescent="0.45">
      <c r="A1084" t="s">
        <v>1169</v>
      </c>
      <c r="B1084" s="3">
        <v>44951</v>
      </c>
      <c r="C1084">
        <v>29</v>
      </c>
      <c r="D1084" t="s">
        <v>27</v>
      </c>
      <c r="E1084">
        <v>62.4</v>
      </c>
      <c r="F1084">
        <v>167.8</v>
      </c>
      <c r="G1084" s="4">
        <f t="shared" si="32"/>
        <v>22.161577790689577</v>
      </c>
      <c r="H1084" t="s">
        <v>46</v>
      </c>
      <c r="I1084" t="s">
        <v>108</v>
      </c>
      <c r="J1084">
        <v>106</v>
      </c>
      <c r="K1084">
        <v>65</v>
      </c>
      <c r="L1084">
        <v>89</v>
      </c>
      <c r="M1084">
        <v>1</v>
      </c>
      <c r="N1084" s="5">
        <v>3168.02</v>
      </c>
      <c r="O1084" t="s">
        <v>30</v>
      </c>
      <c r="P1084" t="str">
        <f t="shared" si="33"/>
        <v>Hospital Provincial de Inhambane</v>
      </c>
      <c r="Q1084" t="s">
        <v>37</v>
      </c>
      <c r="R1084">
        <v>4</v>
      </c>
    </row>
    <row r="1085" spans="1:18" x14ac:dyDescent="0.45">
      <c r="A1085" t="s">
        <v>1170</v>
      </c>
      <c r="B1085" s="3">
        <v>44987</v>
      </c>
      <c r="C1085">
        <v>13</v>
      </c>
      <c r="D1085" t="s">
        <v>20</v>
      </c>
      <c r="E1085">
        <v>66.8</v>
      </c>
      <c r="F1085">
        <v>166.8</v>
      </c>
      <c r="G1085" s="4">
        <f t="shared" si="32"/>
        <v>24.009569322958892</v>
      </c>
      <c r="H1085" t="s">
        <v>28</v>
      </c>
      <c r="I1085" t="s">
        <v>29</v>
      </c>
      <c r="J1085">
        <v>109</v>
      </c>
      <c r="K1085">
        <v>76</v>
      </c>
      <c r="L1085">
        <v>102</v>
      </c>
      <c r="M1085">
        <v>13</v>
      </c>
      <c r="N1085" s="5">
        <v>34002.639999999999</v>
      </c>
      <c r="O1085" t="s">
        <v>38</v>
      </c>
      <c r="P1085" t="str">
        <f t="shared" si="33"/>
        <v>Hospital Provincial de Xai-Xai</v>
      </c>
      <c r="Q1085" t="s">
        <v>24</v>
      </c>
      <c r="R1085">
        <v>4</v>
      </c>
    </row>
    <row r="1086" spans="1:18" x14ac:dyDescent="0.45">
      <c r="A1086" t="s">
        <v>1171</v>
      </c>
      <c r="B1086" s="3">
        <v>44959</v>
      </c>
      <c r="C1086">
        <v>15</v>
      </c>
      <c r="D1086" t="s">
        <v>27</v>
      </c>
      <c r="E1086">
        <v>65.8</v>
      </c>
      <c r="F1086">
        <v>179.9</v>
      </c>
      <c r="G1086" s="4">
        <f t="shared" si="32"/>
        <v>20.331225951295895</v>
      </c>
      <c r="H1086" t="s">
        <v>28</v>
      </c>
      <c r="I1086" t="s">
        <v>29</v>
      </c>
      <c r="J1086">
        <v>87</v>
      </c>
      <c r="K1086">
        <v>57</v>
      </c>
      <c r="L1086">
        <v>70</v>
      </c>
      <c r="M1086">
        <v>3</v>
      </c>
      <c r="N1086" s="5">
        <v>11917.9</v>
      </c>
      <c r="O1086" t="s">
        <v>57</v>
      </c>
      <c r="P1086" t="str">
        <f t="shared" si="33"/>
        <v>Hospital Provincial de Tete</v>
      </c>
      <c r="Q1086" t="s">
        <v>24</v>
      </c>
      <c r="R1086">
        <v>1</v>
      </c>
    </row>
    <row r="1087" spans="1:18" x14ac:dyDescent="0.45">
      <c r="A1087" t="s">
        <v>1172</v>
      </c>
      <c r="B1087" s="3">
        <v>45163</v>
      </c>
      <c r="C1087">
        <v>51</v>
      </c>
      <c r="D1087" t="s">
        <v>20</v>
      </c>
      <c r="E1087">
        <v>84.3</v>
      </c>
      <c r="F1087">
        <v>162.19999999999999</v>
      </c>
      <c r="G1087" s="4">
        <f t="shared" si="32"/>
        <v>32.042461773305099</v>
      </c>
      <c r="H1087" t="s">
        <v>21</v>
      </c>
      <c r="I1087" t="s">
        <v>70</v>
      </c>
      <c r="J1087">
        <v>116</v>
      </c>
      <c r="K1087">
        <v>81</v>
      </c>
      <c r="L1087">
        <v>103</v>
      </c>
      <c r="M1087">
        <v>3</v>
      </c>
      <c r="N1087" s="5">
        <v>4400.18</v>
      </c>
      <c r="O1087" t="s">
        <v>67</v>
      </c>
      <c r="P1087" t="str">
        <f t="shared" si="33"/>
        <v>Hospital Provincial de Pemba</v>
      </c>
      <c r="Q1087" t="s">
        <v>37</v>
      </c>
      <c r="R1087">
        <v>4</v>
      </c>
    </row>
    <row r="1088" spans="1:18" x14ac:dyDescent="0.45">
      <c r="A1088" t="s">
        <v>1173</v>
      </c>
      <c r="B1088" s="3">
        <v>45445</v>
      </c>
      <c r="C1088">
        <v>18</v>
      </c>
      <c r="D1088" t="s">
        <v>27</v>
      </c>
      <c r="E1088">
        <v>99.2</v>
      </c>
      <c r="F1088">
        <v>159.6</v>
      </c>
      <c r="G1088" s="4">
        <f t="shared" si="32"/>
        <v>38.944478991966136</v>
      </c>
      <c r="H1088" t="s">
        <v>21</v>
      </c>
      <c r="I1088" t="s">
        <v>22</v>
      </c>
      <c r="J1088">
        <v>122</v>
      </c>
      <c r="K1088">
        <v>71</v>
      </c>
      <c r="L1088">
        <v>109</v>
      </c>
      <c r="M1088">
        <v>8</v>
      </c>
      <c r="N1088" s="5">
        <v>26574.58</v>
      </c>
      <c r="O1088" t="s">
        <v>51</v>
      </c>
      <c r="P1088" t="str">
        <f t="shared" si="33"/>
        <v>Hospital Central de Quelimane</v>
      </c>
      <c r="Q1088" t="s">
        <v>24</v>
      </c>
      <c r="R1088">
        <v>4</v>
      </c>
    </row>
    <row r="1089" spans="1:18" x14ac:dyDescent="0.45">
      <c r="A1089" t="s">
        <v>1174</v>
      </c>
      <c r="B1089" s="3">
        <v>45507</v>
      </c>
      <c r="C1089">
        <v>11</v>
      </c>
      <c r="D1089" t="s">
        <v>27</v>
      </c>
      <c r="E1089">
        <v>25.5</v>
      </c>
      <c r="F1089">
        <v>112.6</v>
      </c>
      <c r="G1089" s="4">
        <f t="shared" si="32"/>
        <v>20.112376920140459</v>
      </c>
      <c r="H1089" t="s">
        <v>28</v>
      </c>
      <c r="I1089" t="s">
        <v>73</v>
      </c>
      <c r="J1089">
        <v>119</v>
      </c>
      <c r="K1089">
        <v>72</v>
      </c>
      <c r="L1089">
        <v>65</v>
      </c>
      <c r="M1089">
        <v>2</v>
      </c>
      <c r="N1089" s="5">
        <v>7204.4</v>
      </c>
      <c r="O1089" t="s">
        <v>63</v>
      </c>
      <c r="P1089" t="str">
        <f t="shared" si="33"/>
        <v>Hospital Central de Nampula</v>
      </c>
      <c r="Q1089" t="s">
        <v>24</v>
      </c>
      <c r="R1089">
        <v>4</v>
      </c>
    </row>
    <row r="1090" spans="1:18" x14ac:dyDescent="0.45">
      <c r="A1090" t="s">
        <v>1175</v>
      </c>
      <c r="B1090" s="3">
        <v>45376</v>
      </c>
      <c r="C1090">
        <v>7</v>
      </c>
      <c r="D1090" t="s">
        <v>27</v>
      </c>
      <c r="E1090">
        <v>8.6</v>
      </c>
      <c r="F1090">
        <v>88.8</v>
      </c>
      <c r="G1090" s="4">
        <f t="shared" ref="G1090:G1153" si="34">E1090/((F1090/100)^2)</f>
        <v>10.906176446716987</v>
      </c>
      <c r="H1090" t="s">
        <v>28</v>
      </c>
      <c r="I1090" t="s">
        <v>73</v>
      </c>
      <c r="J1090">
        <v>102</v>
      </c>
      <c r="K1090">
        <v>72</v>
      </c>
      <c r="L1090">
        <v>113</v>
      </c>
      <c r="M1090">
        <v>1</v>
      </c>
      <c r="N1090" s="5">
        <v>4575.51</v>
      </c>
      <c r="O1090" t="s">
        <v>38</v>
      </c>
      <c r="P1090" t="str">
        <f t="shared" ref="P1090:P1153" si="35">INDEX($U$2:$U$12,MATCH(O1090,$T$2:$T$12,0))</f>
        <v>Hospital Provincial de Xai-Xai</v>
      </c>
      <c r="Q1090" t="s">
        <v>24</v>
      </c>
      <c r="R1090">
        <v>5</v>
      </c>
    </row>
    <row r="1091" spans="1:18" x14ac:dyDescent="0.45">
      <c r="A1091" t="s">
        <v>1176</v>
      </c>
      <c r="B1091" s="3">
        <v>45157</v>
      </c>
      <c r="C1091">
        <v>21</v>
      </c>
      <c r="D1091" t="s">
        <v>20</v>
      </c>
      <c r="E1091">
        <v>63.2</v>
      </c>
      <c r="F1091">
        <v>163.5</v>
      </c>
      <c r="G1091" s="4">
        <f t="shared" si="34"/>
        <v>23.641855810865156</v>
      </c>
      <c r="H1091" t="s">
        <v>21</v>
      </c>
      <c r="I1091" t="s">
        <v>70</v>
      </c>
      <c r="J1091">
        <v>109</v>
      </c>
      <c r="K1091">
        <v>70</v>
      </c>
      <c r="L1091">
        <v>112</v>
      </c>
      <c r="M1091">
        <v>1</v>
      </c>
      <c r="N1091" s="5">
        <v>5689.07</v>
      </c>
      <c r="O1091" t="s">
        <v>30</v>
      </c>
      <c r="P1091" t="str">
        <f t="shared" si="35"/>
        <v>Hospital Provincial de Inhambane</v>
      </c>
      <c r="Q1091" t="s">
        <v>24</v>
      </c>
      <c r="R1091">
        <v>4</v>
      </c>
    </row>
    <row r="1092" spans="1:18" x14ac:dyDescent="0.45">
      <c r="A1092" t="s">
        <v>1177</v>
      </c>
      <c r="B1092" s="3">
        <v>45219</v>
      </c>
      <c r="C1092">
        <v>37</v>
      </c>
      <c r="D1092" t="s">
        <v>20</v>
      </c>
      <c r="E1092">
        <v>55.7</v>
      </c>
      <c r="F1092">
        <v>174.9</v>
      </c>
      <c r="G1092" s="4">
        <f t="shared" si="34"/>
        <v>18.208558938032382</v>
      </c>
      <c r="H1092" t="s">
        <v>41</v>
      </c>
      <c r="I1092" t="s">
        <v>113</v>
      </c>
      <c r="J1092">
        <v>126</v>
      </c>
      <c r="K1092">
        <v>78</v>
      </c>
      <c r="L1092">
        <v>77</v>
      </c>
      <c r="M1092">
        <v>1</v>
      </c>
      <c r="N1092" s="5">
        <v>2556.64</v>
      </c>
      <c r="O1092" t="s">
        <v>23</v>
      </c>
      <c r="P1092" t="str">
        <f t="shared" si="35"/>
        <v>Hospital Central de Maputo</v>
      </c>
      <c r="Q1092" t="s">
        <v>37</v>
      </c>
      <c r="R1092">
        <v>4</v>
      </c>
    </row>
    <row r="1093" spans="1:18" x14ac:dyDescent="0.45">
      <c r="A1093" t="s">
        <v>1178</v>
      </c>
      <c r="B1093" s="3">
        <v>45585</v>
      </c>
      <c r="C1093">
        <v>32</v>
      </c>
      <c r="D1093" t="s">
        <v>27</v>
      </c>
      <c r="E1093">
        <v>55.1</v>
      </c>
      <c r="F1093">
        <v>164.9</v>
      </c>
      <c r="G1093" s="4">
        <f t="shared" si="34"/>
        <v>20.263305287104558</v>
      </c>
      <c r="H1093" t="s">
        <v>99</v>
      </c>
      <c r="I1093" t="s">
        <v>100</v>
      </c>
      <c r="J1093">
        <v>112</v>
      </c>
      <c r="K1093">
        <v>76</v>
      </c>
      <c r="L1093">
        <v>120</v>
      </c>
      <c r="M1093">
        <v>1</v>
      </c>
      <c r="N1093" s="5">
        <v>3084.77</v>
      </c>
      <c r="O1093" t="s">
        <v>23</v>
      </c>
      <c r="P1093" t="str">
        <f t="shared" si="35"/>
        <v>Hospital Central de Maputo</v>
      </c>
      <c r="Q1093" t="s">
        <v>202</v>
      </c>
      <c r="R1093">
        <v>3</v>
      </c>
    </row>
    <row r="1094" spans="1:18" x14ac:dyDescent="0.45">
      <c r="A1094" t="s">
        <v>1179</v>
      </c>
      <c r="B1094" s="3">
        <v>45621</v>
      </c>
      <c r="C1094">
        <v>54</v>
      </c>
      <c r="D1094" t="s">
        <v>27</v>
      </c>
      <c r="E1094">
        <v>57.1</v>
      </c>
      <c r="F1094">
        <v>158.4</v>
      </c>
      <c r="G1094" s="4">
        <f t="shared" si="34"/>
        <v>22.757563003775125</v>
      </c>
      <c r="H1094" t="s">
        <v>34</v>
      </c>
      <c r="I1094" t="s">
        <v>35</v>
      </c>
      <c r="J1094">
        <v>135</v>
      </c>
      <c r="K1094">
        <v>85</v>
      </c>
      <c r="L1094">
        <v>101</v>
      </c>
      <c r="M1094">
        <v>5</v>
      </c>
      <c r="N1094" s="5">
        <v>14933.48</v>
      </c>
      <c r="O1094" t="s">
        <v>43</v>
      </c>
      <c r="P1094" t="str">
        <f t="shared" si="35"/>
        <v>Hospital Central da Beira</v>
      </c>
      <c r="Q1094" t="s">
        <v>24</v>
      </c>
      <c r="R1094">
        <v>5</v>
      </c>
    </row>
    <row r="1095" spans="1:18" x14ac:dyDescent="0.45">
      <c r="A1095" t="s">
        <v>1180</v>
      </c>
      <c r="B1095" s="3">
        <v>45356</v>
      </c>
      <c r="C1095">
        <v>45</v>
      </c>
      <c r="D1095" t="s">
        <v>20</v>
      </c>
      <c r="E1095">
        <v>59.3</v>
      </c>
      <c r="F1095">
        <v>159.69999999999999</v>
      </c>
      <c r="G1095" s="4">
        <f t="shared" si="34"/>
        <v>23.251172655052585</v>
      </c>
      <c r="H1095" t="s">
        <v>46</v>
      </c>
      <c r="I1095" t="s">
        <v>108</v>
      </c>
      <c r="J1095">
        <v>124</v>
      </c>
      <c r="K1095">
        <v>76</v>
      </c>
      <c r="L1095">
        <v>141</v>
      </c>
      <c r="M1095">
        <v>8</v>
      </c>
      <c r="N1095" s="5">
        <v>20977.07</v>
      </c>
      <c r="O1095" t="s">
        <v>63</v>
      </c>
      <c r="P1095" t="str">
        <f t="shared" si="35"/>
        <v>Hospital Central de Nampula</v>
      </c>
      <c r="Q1095" t="s">
        <v>24</v>
      </c>
      <c r="R1095">
        <v>5</v>
      </c>
    </row>
    <row r="1096" spans="1:18" x14ac:dyDescent="0.45">
      <c r="A1096" t="s">
        <v>1181</v>
      </c>
      <c r="B1096" s="3">
        <v>45092</v>
      </c>
      <c r="C1096">
        <v>27</v>
      </c>
      <c r="D1096" t="s">
        <v>20</v>
      </c>
      <c r="E1096">
        <v>61.8</v>
      </c>
      <c r="F1096">
        <v>161.19999999999999</v>
      </c>
      <c r="G1096" s="4">
        <f t="shared" si="34"/>
        <v>23.782548996668908</v>
      </c>
      <c r="H1096" t="s">
        <v>46</v>
      </c>
      <c r="I1096" t="s">
        <v>66</v>
      </c>
      <c r="J1096">
        <v>103</v>
      </c>
      <c r="K1096">
        <v>58</v>
      </c>
      <c r="L1096">
        <v>69</v>
      </c>
      <c r="M1096">
        <v>4</v>
      </c>
      <c r="N1096" s="5">
        <v>7632.64</v>
      </c>
      <c r="O1096" t="s">
        <v>52</v>
      </c>
      <c r="P1096" t="str">
        <f t="shared" si="35"/>
        <v>Hospital Provincial de Chimoio</v>
      </c>
      <c r="Q1096" t="s">
        <v>24</v>
      </c>
      <c r="R1096">
        <v>4</v>
      </c>
    </row>
    <row r="1097" spans="1:18" x14ac:dyDescent="0.45">
      <c r="A1097" t="s">
        <v>1182</v>
      </c>
      <c r="B1097" s="3">
        <v>45427</v>
      </c>
      <c r="C1097">
        <v>21</v>
      </c>
      <c r="D1097" t="s">
        <v>20</v>
      </c>
      <c r="E1097">
        <v>55.7</v>
      </c>
      <c r="F1097">
        <v>159.19999999999999</v>
      </c>
      <c r="G1097" s="4">
        <f t="shared" si="34"/>
        <v>21.977033408247273</v>
      </c>
      <c r="H1097" t="s">
        <v>46</v>
      </c>
      <c r="I1097" t="s">
        <v>47</v>
      </c>
      <c r="J1097">
        <v>108</v>
      </c>
      <c r="K1097">
        <v>61</v>
      </c>
      <c r="L1097">
        <v>104</v>
      </c>
      <c r="M1097">
        <v>1</v>
      </c>
      <c r="N1097" s="5">
        <v>3823.78</v>
      </c>
      <c r="O1097" t="s">
        <v>51</v>
      </c>
      <c r="P1097" t="str">
        <f t="shared" si="35"/>
        <v>Hospital Central de Quelimane</v>
      </c>
      <c r="Q1097" t="s">
        <v>24</v>
      </c>
      <c r="R1097">
        <v>4</v>
      </c>
    </row>
    <row r="1098" spans="1:18" x14ac:dyDescent="0.45">
      <c r="A1098" t="s">
        <v>1183</v>
      </c>
      <c r="B1098" s="3">
        <v>45647</v>
      </c>
      <c r="C1098">
        <v>18</v>
      </c>
      <c r="D1098" t="s">
        <v>20</v>
      </c>
      <c r="E1098">
        <v>75.900000000000006</v>
      </c>
      <c r="F1098">
        <v>161.5</v>
      </c>
      <c r="G1098" s="4">
        <f t="shared" si="34"/>
        <v>29.100250170134863</v>
      </c>
      <c r="H1098" t="s">
        <v>91</v>
      </c>
      <c r="I1098" t="s">
        <v>116</v>
      </c>
      <c r="J1098">
        <v>100</v>
      </c>
      <c r="K1098">
        <v>62</v>
      </c>
      <c r="L1098">
        <v>65</v>
      </c>
      <c r="M1098">
        <v>7</v>
      </c>
      <c r="N1098" s="5">
        <v>11016.59</v>
      </c>
      <c r="O1098" t="s">
        <v>57</v>
      </c>
      <c r="P1098" t="str">
        <f t="shared" si="35"/>
        <v>Hospital Provincial de Tete</v>
      </c>
      <c r="Q1098" t="s">
        <v>24</v>
      </c>
      <c r="R1098">
        <v>5</v>
      </c>
    </row>
    <row r="1099" spans="1:18" x14ac:dyDescent="0.45">
      <c r="A1099" t="s">
        <v>1184</v>
      </c>
      <c r="B1099" s="3">
        <v>45418</v>
      </c>
      <c r="C1099">
        <v>23</v>
      </c>
      <c r="D1099" t="s">
        <v>27</v>
      </c>
      <c r="E1099">
        <v>75.7</v>
      </c>
      <c r="F1099">
        <v>185.7</v>
      </c>
      <c r="G1099" s="4">
        <f t="shared" si="34"/>
        <v>21.951897795211703</v>
      </c>
      <c r="H1099" t="s">
        <v>99</v>
      </c>
      <c r="I1099" t="s">
        <v>151</v>
      </c>
      <c r="J1099">
        <v>96</v>
      </c>
      <c r="K1099">
        <v>62</v>
      </c>
      <c r="L1099">
        <v>88</v>
      </c>
      <c r="M1099">
        <v>5</v>
      </c>
      <c r="N1099" s="5">
        <v>10586.66</v>
      </c>
      <c r="O1099" t="s">
        <v>31</v>
      </c>
      <c r="P1099" t="str">
        <f t="shared" si="35"/>
        <v>Hospital Provincial da Matola</v>
      </c>
      <c r="Q1099" t="s">
        <v>24</v>
      </c>
      <c r="R1099">
        <v>3</v>
      </c>
    </row>
    <row r="1100" spans="1:18" x14ac:dyDescent="0.45">
      <c r="A1100" t="s">
        <v>1185</v>
      </c>
      <c r="B1100" s="3">
        <v>45057</v>
      </c>
      <c r="C1100">
        <v>4</v>
      </c>
      <c r="D1100" t="s">
        <v>20</v>
      </c>
      <c r="E1100">
        <v>32.1</v>
      </c>
      <c r="F1100">
        <v>104.8</v>
      </c>
      <c r="G1100" s="4">
        <f t="shared" si="34"/>
        <v>29.22688071790688</v>
      </c>
      <c r="H1100" t="s">
        <v>28</v>
      </c>
      <c r="I1100" t="s">
        <v>29</v>
      </c>
      <c r="J1100">
        <v>91</v>
      </c>
      <c r="K1100">
        <v>56</v>
      </c>
      <c r="L1100">
        <v>88</v>
      </c>
      <c r="M1100">
        <v>5</v>
      </c>
      <c r="N1100" s="5">
        <v>11476.45</v>
      </c>
      <c r="O1100" t="s">
        <v>43</v>
      </c>
      <c r="P1100" t="str">
        <f t="shared" si="35"/>
        <v>Hospital Central da Beira</v>
      </c>
      <c r="Q1100" t="s">
        <v>202</v>
      </c>
      <c r="R1100">
        <v>4</v>
      </c>
    </row>
    <row r="1101" spans="1:18" x14ac:dyDescent="0.45">
      <c r="A1101" t="s">
        <v>1186</v>
      </c>
      <c r="B1101" s="3">
        <v>45543</v>
      </c>
      <c r="C1101">
        <v>46</v>
      </c>
      <c r="D1101" t="s">
        <v>20</v>
      </c>
      <c r="E1101">
        <v>44.5</v>
      </c>
      <c r="F1101">
        <v>161.69999999999999</v>
      </c>
      <c r="G1101" s="4">
        <f t="shared" si="34"/>
        <v>17.019232497631652</v>
      </c>
      <c r="H1101" t="s">
        <v>46</v>
      </c>
      <c r="I1101" t="s">
        <v>94</v>
      </c>
      <c r="J1101">
        <v>130</v>
      </c>
      <c r="K1101">
        <v>86</v>
      </c>
      <c r="L1101">
        <v>104</v>
      </c>
      <c r="M1101">
        <v>5</v>
      </c>
      <c r="N1101" s="5">
        <v>9458.94</v>
      </c>
      <c r="O1101" t="s">
        <v>23</v>
      </c>
      <c r="P1101" t="str">
        <f t="shared" si="35"/>
        <v>Hospital Central de Maputo</v>
      </c>
      <c r="Q1101" t="s">
        <v>24</v>
      </c>
      <c r="R1101">
        <v>4</v>
      </c>
    </row>
    <row r="1102" spans="1:18" x14ac:dyDescent="0.45">
      <c r="A1102" t="s">
        <v>1187</v>
      </c>
      <c r="B1102" s="3">
        <v>45057</v>
      </c>
      <c r="C1102">
        <v>6</v>
      </c>
      <c r="D1102" t="s">
        <v>20</v>
      </c>
      <c r="E1102">
        <v>37.6</v>
      </c>
      <c r="F1102">
        <v>102.4</v>
      </c>
      <c r="G1102" s="4">
        <f t="shared" si="34"/>
        <v>35.858154296875</v>
      </c>
      <c r="H1102" t="s">
        <v>28</v>
      </c>
      <c r="I1102" t="s">
        <v>29</v>
      </c>
      <c r="J1102">
        <v>90</v>
      </c>
      <c r="K1102">
        <v>55</v>
      </c>
      <c r="L1102">
        <v>86</v>
      </c>
      <c r="M1102">
        <v>8</v>
      </c>
      <c r="N1102" s="5">
        <v>16518.91</v>
      </c>
      <c r="O1102" t="s">
        <v>23</v>
      </c>
      <c r="P1102" t="str">
        <f t="shared" si="35"/>
        <v>Hospital Central de Maputo</v>
      </c>
      <c r="Q1102" t="s">
        <v>76</v>
      </c>
      <c r="R1102">
        <v>2</v>
      </c>
    </row>
    <row r="1103" spans="1:18" x14ac:dyDescent="0.45">
      <c r="A1103" t="s">
        <v>1188</v>
      </c>
      <c r="B1103" s="3">
        <v>45536</v>
      </c>
      <c r="C1103">
        <v>20</v>
      </c>
      <c r="D1103" t="s">
        <v>20</v>
      </c>
      <c r="E1103">
        <v>68.400000000000006</v>
      </c>
      <c r="F1103">
        <v>166.7</v>
      </c>
      <c r="G1103" s="4">
        <f t="shared" si="34"/>
        <v>24.614153354092235</v>
      </c>
      <c r="H1103" t="s">
        <v>34</v>
      </c>
      <c r="I1103" t="s">
        <v>35</v>
      </c>
      <c r="J1103">
        <v>104</v>
      </c>
      <c r="K1103">
        <v>61</v>
      </c>
      <c r="L1103">
        <v>85</v>
      </c>
      <c r="M1103">
        <v>1</v>
      </c>
      <c r="N1103" s="5">
        <v>2054.6</v>
      </c>
      <c r="O1103" t="s">
        <v>57</v>
      </c>
      <c r="P1103" t="str">
        <f t="shared" si="35"/>
        <v>Hospital Provincial de Tete</v>
      </c>
      <c r="Q1103" t="s">
        <v>24</v>
      </c>
      <c r="R1103">
        <v>5</v>
      </c>
    </row>
    <row r="1104" spans="1:18" x14ac:dyDescent="0.45">
      <c r="A1104" t="s">
        <v>1189</v>
      </c>
      <c r="B1104" s="3">
        <v>45629</v>
      </c>
      <c r="C1104">
        <v>21</v>
      </c>
      <c r="D1104" t="s">
        <v>20</v>
      </c>
      <c r="E1104">
        <v>37.9</v>
      </c>
      <c r="F1104">
        <v>171.5</v>
      </c>
      <c r="G1104" s="4">
        <f t="shared" si="34"/>
        <v>12.885787384508154</v>
      </c>
      <c r="H1104" t="s">
        <v>41</v>
      </c>
      <c r="I1104" t="s">
        <v>113</v>
      </c>
      <c r="J1104">
        <v>118</v>
      </c>
      <c r="K1104">
        <v>76</v>
      </c>
      <c r="L1104">
        <v>130</v>
      </c>
      <c r="M1104">
        <v>1</v>
      </c>
      <c r="N1104" s="5">
        <v>5062.88</v>
      </c>
      <c r="O1104" t="s">
        <v>52</v>
      </c>
      <c r="P1104" t="str">
        <f t="shared" si="35"/>
        <v>Hospital Provincial de Chimoio</v>
      </c>
      <c r="Q1104" t="s">
        <v>24</v>
      </c>
      <c r="R1104">
        <v>4</v>
      </c>
    </row>
    <row r="1105" spans="1:18" x14ac:dyDescent="0.45">
      <c r="A1105" t="s">
        <v>1190</v>
      </c>
      <c r="B1105" s="3">
        <v>45328</v>
      </c>
      <c r="C1105">
        <v>2</v>
      </c>
      <c r="D1105" t="s">
        <v>20</v>
      </c>
      <c r="E1105">
        <v>20.100000000000001</v>
      </c>
      <c r="F1105">
        <v>128.19999999999999</v>
      </c>
      <c r="G1105" s="4">
        <f t="shared" si="34"/>
        <v>12.229818365901567</v>
      </c>
      <c r="H1105" t="s">
        <v>28</v>
      </c>
      <c r="I1105" t="s">
        <v>75</v>
      </c>
      <c r="J1105">
        <v>104</v>
      </c>
      <c r="K1105">
        <v>64</v>
      </c>
      <c r="L1105">
        <v>65</v>
      </c>
      <c r="M1105">
        <v>13</v>
      </c>
      <c r="N1105" s="5">
        <v>27794.86</v>
      </c>
      <c r="O1105" t="s">
        <v>43</v>
      </c>
      <c r="P1105" t="str">
        <f t="shared" si="35"/>
        <v>Hospital Central da Beira</v>
      </c>
      <c r="Q1105" t="s">
        <v>202</v>
      </c>
      <c r="R1105">
        <v>5</v>
      </c>
    </row>
    <row r="1106" spans="1:18" x14ac:dyDescent="0.45">
      <c r="A1106" t="s">
        <v>1191</v>
      </c>
      <c r="B1106" s="3">
        <v>44968</v>
      </c>
      <c r="C1106">
        <v>12</v>
      </c>
      <c r="D1106" t="s">
        <v>27</v>
      </c>
      <c r="E1106">
        <v>76.400000000000006</v>
      </c>
      <c r="F1106">
        <v>173.4</v>
      </c>
      <c r="G1106" s="4">
        <f t="shared" si="34"/>
        <v>25.40944459743325</v>
      </c>
      <c r="H1106" t="s">
        <v>28</v>
      </c>
      <c r="I1106" t="s">
        <v>75</v>
      </c>
      <c r="J1106">
        <v>112</v>
      </c>
      <c r="K1106">
        <v>64</v>
      </c>
      <c r="L1106">
        <v>97</v>
      </c>
      <c r="M1106">
        <v>1</v>
      </c>
      <c r="N1106" s="5">
        <v>4525.47</v>
      </c>
      <c r="O1106" t="s">
        <v>38</v>
      </c>
      <c r="P1106" t="str">
        <f t="shared" si="35"/>
        <v>Hospital Provincial de Xai-Xai</v>
      </c>
      <c r="Q1106" t="s">
        <v>24</v>
      </c>
      <c r="R1106">
        <v>4</v>
      </c>
    </row>
    <row r="1107" spans="1:18" x14ac:dyDescent="0.45">
      <c r="A1107" t="s">
        <v>1192</v>
      </c>
      <c r="B1107" s="3">
        <v>45368</v>
      </c>
      <c r="C1107">
        <v>28</v>
      </c>
      <c r="D1107" t="s">
        <v>27</v>
      </c>
      <c r="E1107">
        <v>60.8</v>
      </c>
      <c r="F1107">
        <v>151.80000000000001</v>
      </c>
      <c r="G1107" s="4">
        <f t="shared" si="34"/>
        <v>26.385178473166096</v>
      </c>
      <c r="H1107" t="s">
        <v>34</v>
      </c>
      <c r="I1107" t="s">
        <v>138</v>
      </c>
      <c r="J1107">
        <v>95</v>
      </c>
      <c r="K1107">
        <v>56</v>
      </c>
      <c r="L1107">
        <v>101</v>
      </c>
      <c r="M1107">
        <v>3</v>
      </c>
      <c r="N1107" s="5">
        <v>5042.49</v>
      </c>
      <c r="O1107" t="s">
        <v>63</v>
      </c>
      <c r="P1107" t="str">
        <f t="shared" si="35"/>
        <v>Hospital Central de Nampula</v>
      </c>
      <c r="Q1107" t="s">
        <v>24</v>
      </c>
      <c r="R1107">
        <v>4</v>
      </c>
    </row>
    <row r="1108" spans="1:18" x14ac:dyDescent="0.45">
      <c r="A1108" t="s">
        <v>1193</v>
      </c>
      <c r="B1108" s="3">
        <v>45047</v>
      </c>
      <c r="C1108">
        <v>45</v>
      </c>
      <c r="D1108" t="s">
        <v>20</v>
      </c>
      <c r="E1108">
        <v>50.4</v>
      </c>
      <c r="F1108">
        <v>168</v>
      </c>
      <c r="G1108" s="4">
        <f t="shared" si="34"/>
        <v>17.857142857142858</v>
      </c>
      <c r="H1108" t="s">
        <v>91</v>
      </c>
      <c r="I1108" t="s">
        <v>131</v>
      </c>
      <c r="J1108">
        <v>94</v>
      </c>
      <c r="K1108">
        <v>57</v>
      </c>
      <c r="L1108">
        <v>65</v>
      </c>
      <c r="M1108">
        <v>3</v>
      </c>
      <c r="N1108" s="5">
        <v>7599.74</v>
      </c>
      <c r="O1108" t="s">
        <v>23</v>
      </c>
      <c r="P1108" t="str">
        <f t="shared" si="35"/>
        <v>Hospital Central de Maputo</v>
      </c>
      <c r="Q1108" t="s">
        <v>24</v>
      </c>
      <c r="R1108">
        <v>4</v>
      </c>
    </row>
    <row r="1109" spans="1:18" x14ac:dyDescent="0.45">
      <c r="A1109" t="s">
        <v>1194</v>
      </c>
      <c r="B1109" s="3">
        <v>44967</v>
      </c>
      <c r="C1109">
        <v>18</v>
      </c>
      <c r="D1109" t="s">
        <v>27</v>
      </c>
      <c r="E1109">
        <v>62.2</v>
      </c>
      <c r="F1109">
        <v>155.30000000000001</v>
      </c>
      <c r="G1109" s="4">
        <f t="shared" si="34"/>
        <v>25.789770251292701</v>
      </c>
      <c r="H1109" t="s">
        <v>34</v>
      </c>
      <c r="I1109" t="s">
        <v>128</v>
      </c>
      <c r="J1109">
        <v>85</v>
      </c>
      <c r="K1109">
        <v>55</v>
      </c>
      <c r="L1109">
        <v>98</v>
      </c>
      <c r="M1109">
        <v>1</v>
      </c>
      <c r="N1109" s="5">
        <v>3649.89</v>
      </c>
      <c r="O1109" t="s">
        <v>57</v>
      </c>
      <c r="P1109" t="str">
        <f t="shared" si="35"/>
        <v>Hospital Provincial de Tete</v>
      </c>
      <c r="Q1109" t="s">
        <v>24</v>
      </c>
      <c r="R1109">
        <v>3</v>
      </c>
    </row>
    <row r="1110" spans="1:18" x14ac:dyDescent="0.45">
      <c r="A1110" t="s">
        <v>1195</v>
      </c>
      <c r="B1110" s="3">
        <v>45132</v>
      </c>
      <c r="C1110">
        <v>36</v>
      </c>
      <c r="D1110" t="s">
        <v>27</v>
      </c>
      <c r="E1110">
        <v>94.7</v>
      </c>
      <c r="F1110">
        <v>153.69999999999999</v>
      </c>
      <c r="G1110" s="4">
        <f t="shared" si="34"/>
        <v>40.086878891485632</v>
      </c>
      <c r="H1110" t="s">
        <v>99</v>
      </c>
      <c r="I1110" t="s">
        <v>151</v>
      </c>
      <c r="J1110">
        <v>103</v>
      </c>
      <c r="K1110">
        <v>66</v>
      </c>
      <c r="L1110">
        <v>105</v>
      </c>
      <c r="M1110">
        <v>1</v>
      </c>
      <c r="N1110" s="5">
        <v>3419.98</v>
      </c>
      <c r="O1110" t="s">
        <v>38</v>
      </c>
      <c r="P1110" t="str">
        <f t="shared" si="35"/>
        <v>Hospital Provincial de Xai-Xai</v>
      </c>
      <c r="Q1110" t="s">
        <v>24</v>
      </c>
      <c r="R1110">
        <v>5</v>
      </c>
    </row>
    <row r="1111" spans="1:18" x14ac:dyDescent="0.45">
      <c r="A1111" t="s">
        <v>1196</v>
      </c>
      <c r="B1111" s="3">
        <v>45633</v>
      </c>
      <c r="C1111">
        <v>33</v>
      </c>
      <c r="D1111" t="s">
        <v>20</v>
      </c>
      <c r="E1111">
        <v>54.4</v>
      </c>
      <c r="F1111">
        <v>154.69999999999999</v>
      </c>
      <c r="G1111" s="4">
        <f t="shared" si="34"/>
        <v>22.730985885478454</v>
      </c>
      <c r="H1111" t="s">
        <v>21</v>
      </c>
      <c r="I1111" t="s">
        <v>89</v>
      </c>
      <c r="J1111">
        <v>144</v>
      </c>
      <c r="K1111">
        <v>88</v>
      </c>
      <c r="L1111">
        <v>72</v>
      </c>
      <c r="M1111">
        <v>2</v>
      </c>
      <c r="N1111" s="5">
        <v>8587.74</v>
      </c>
      <c r="O1111" t="s">
        <v>57</v>
      </c>
      <c r="P1111" t="str">
        <f t="shared" si="35"/>
        <v>Hospital Provincial de Tete</v>
      </c>
      <c r="Q1111" t="s">
        <v>24</v>
      </c>
      <c r="R1111">
        <v>4</v>
      </c>
    </row>
    <row r="1112" spans="1:18" x14ac:dyDescent="0.45">
      <c r="A1112" t="s">
        <v>1197</v>
      </c>
      <c r="B1112" s="3">
        <v>45391</v>
      </c>
      <c r="C1112">
        <v>61</v>
      </c>
      <c r="D1112" t="s">
        <v>27</v>
      </c>
      <c r="E1112">
        <v>58.9</v>
      </c>
      <c r="F1112">
        <v>153.1</v>
      </c>
      <c r="G1112" s="4">
        <f t="shared" si="34"/>
        <v>25.128404440176269</v>
      </c>
      <c r="H1112" t="s">
        <v>55</v>
      </c>
      <c r="I1112" t="s">
        <v>62</v>
      </c>
      <c r="J1112">
        <v>96</v>
      </c>
      <c r="K1112">
        <v>64</v>
      </c>
      <c r="L1112">
        <v>83</v>
      </c>
      <c r="M1112">
        <v>1</v>
      </c>
      <c r="N1112" s="5">
        <v>6577.64</v>
      </c>
      <c r="O1112" t="s">
        <v>57</v>
      </c>
      <c r="P1112" t="str">
        <f t="shared" si="35"/>
        <v>Hospital Provincial de Tete</v>
      </c>
      <c r="Q1112" t="s">
        <v>76</v>
      </c>
      <c r="R1112">
        <v>3</v>
      </c>
    </row>
    <row r="1113" spans="1:18" x14ac:dyDescent="0.45">
      <c r="A1113" t="s">
        <v>1198</v>
      </c>
      <c r="B1113" s="3">
        <v>45322</v>
      </c>
      <c r="C1113">
        <v>48</v>
      </c>
      <c r="D1113" t="s">
        <v>27</v>
      </c>
      <c r="E1113">
        <v>69.2</v>
      </c>
      <c r="F1113">
        <v>165.4</v>
      </c>
      <c r="G1113" s="4">
        <f t="shared" si="34"/>
        <v>25.295023313823506</v>
      </c>
      <c r="H1113" t="s">
        <v>34</v>
      </c>
      <c r="I1113" t="s">
        <v>126</v>
      </c>
      <c r="J1113">
        <v>124</v>
      </c>
      <c r="K1113">
        <v>76</v>
      </c>
      <c r="L1113">
        <v>94</v>
      </c>
      <c r="M1113">
        <v>4</v>
      </c>
      <c r="N1113" s="5">
        <v>5302.18</v>
      </c>
      <c r="O1113" t="s">
        <v>63</v>
      </c>
      <c r="P1113" t="str">
        <f t="shared" si="35"/>
        <v>Hospital Central de Nampula</v>
      </c>
      <c r="Q1113" t="s">
        <v>24</v>
      </c>
      <c r="R1113">
        <v>5</v>
      </c>
    </row>
    <row r="1114" spans="1:18" x14ac:dyDescent="0.45">
      <c r="A1114" t="s">
        <v>1199</v>
      </c>
      <c r="B1114" s="3">
        <v>45447</v>
      </c>
      <c r="C1114">
        <v>30</v>
      </c>
      <c r="D1114" t="s">
        <v>27</v>
      </c>
      <c r="E1114">
        <v>51.4</v>
      </c>
      <c r="F1114">
        <v>171.3</v>
      </c>
      <c r="G1114" s="4">
        <f t="shared" si="34"/>
        <v>17.516542738830733</v>
      </c>
      <c r="H1114" t="s">
        <v>99</v>
      </c>
      <c r="I1114" t="s">
        <v>103</v>
      </c>
      <c r="J1114">
        <v>137</v>
      </c>
      <c r="K1114">
        <v>79</v>
      </c>
      <c r="L1114">
        <v>80</v>
      </c>
      <c r="M1114">
        <v>7</v>
      </c>
      <c r="N1114" s="5">
        <v>12471.44</v>
      </c>
      <c r="O1114" t="s">
        <v>31</v>
      </c>
      <c r="P1114" t="str">
        <f t="shared" si="35"/>
        <v>Hospital Provincial da Matola</v>
      </c>
      <c r="Q1114" t="s">
        <v>24</v>
      </c>
      <c r="R1114">
        <v>5</v>
      </c>
    </row>
    <row r="1115" spans="1:18" x14ac:dyDescent="0.45">
      <c r="A1115" t="s">
        <v>1200</v>
      </c>
      <c r="B1115" s="3">
        <v>45066</v>
      </c>
      <c r="C1115">
        <v>27</v>
      </c>
      <c r="D1115" t="s">
        <v>20</v>
      </c>
      <c r="E1115">
        <v>66.599999999999994</v>
      </c>
      <c r="F1115">
        <v>140</v>
      </c>
      <c r="G1115" s="4">
        <f t="shared" si="34"/>
        <v>33.979591836734699</v>
      </c>
      <c r="H1115" t="s">
        <v>91</v>
      </c>
      <c r="I1115" t="s">
        <v>116</v>
      </c>
      <c r="J1115">
        <v>116</v>
      </c>
      <c r="K1115">
        <v>72</v>
      </c>
      <c r="L1115">
        <v>83</v>
      </c>
      <c r="M1115">
        <v>4</v>
      </c>
      <c r="N1115" s="5">
        <v>8323.73</v>
      </c>
      <c r="O1115" t="s">
        <v>31</v>
      </c>
      <c r="P1115" t="str">
        <f t="shared" si="35"/>
        <v>Hospital Provincial da Matola</v>
      </c>
      <c r="Q1115" t="s">
        <v>37</v>
      </c>
      <c r="R1115">
        <v>3</v>
      </c>
    </row>
    <row r="1116" spans="1:18" x14ac:dyDescent="0.45">
      <c r="A1116" t="s">
        <v>1201</v>
      </c>
      <c r="B1116" s="3">
        <v>45352</v>
      </c>
      <c r="C1116">
        <v>32</v>
      </c>
      <c r="D1116" t="s">
        <v>20</v>
      </c>
      <c r="E1116">
        <v>52.2</v>
      </c>
      <c r="F1116">
        <v>170.1</v>
      </c>
      <c r="G1116" s="4">
        <f t="shared" si="34"/>
        <v>18.041052726531859</v>
      </c>
      <c r="H1116" t="s">
        <v>91</v>
      </c>
      <c r="I1116" t="s">
        <v>92</v>
      </c>
      <c r="J1116">
        <v>116</v>
      </c>
      <c r="K1116">
        <v>68</v>
      </c>
      <c r="L1116">
        <v>72</v>
      </c>
      <c r="M1116">
        <v>1</v>
      </c>
      <c r="N1116" s="5">
        <v>6388.53</v>
      </c>
      <c r="O1116" t="s">
        <v>23</v>
      </c>
      <c r="P1116" t="str">
        <f t="shared" si="35"/>
        <v>Hospital Central de Maputo</v>
      </c>
      <c r="Q1116" t="s">
        <v>24</v>
      </c>
      <c r="R1116">
        <v>5</v>
      </c>
    </row>
    <row r="1117" spans="1:18" x14ac:dyDescent="0.45">
      <c r="A1117" t="s">
        <v>1202</v>
      </c>
      <c r="B1117" s="3">
        <v>45434</v>
      </c>
      <c r="C1117">
        <v>43</v>
      </c>
      <c r="D1117" t="s">
        <v>27</v>
      </c>
      <c r="E1117">
        <v>62.4</v>
      </c>
      <c r="F1117">
        <v>166.5</v>
      </c>
      <c r="G1117" s="4">
        <f t="shared" si="34"/>
        <v>22.508995481968451</v>
      </c>
      <c r="H1117" t="s">
        <v>34</v>
      </c>
      <c r="I1117" t="s">
        <v>126</v>
      </c>
      <c r="J1117">
        <v>104</v>
      </c>
      <c r="K1117">
        <v>71</v>
      </c>
      <c r="L1117">
        <v>78</v>
      </c>
      <c r="M1117">
        <v>1</v>
      </c>
      <c r="N1117" s="5">
        <v>4509.47</v>
      </c>
      <c r="O1117" t="s">
        <v>51</v>
      </c>
      <c r="P1117" t="str">
        <f t="shared" si="35"/>
        <v>Hospital Central de Quelimane</v>
      </c>
      <c r="Q1117" t="s">
        <v>24</v>
      </c>
      <c r="R1117">
        <v>3</v>
      </c>
    </row>
    <row r="1118" spans="1:18" x14ac:dyDescent="0.45">
      <c r="A1118" t="s">
        <v>1203</v>
      </c>
      <c r="B1118" s="3">
        <v>45444</v>
      </c>
      <c r="C1118">
        <v>15</v>
      </c>
      <c r="D1118" t="s">
        <v>27</v>
      </c>
      <c r="E1118">
        <v>69.099999999999994</v>
      </c>
      <c r="F1118">
        <v>167.5</v>
      </c>
      <c r="G1118" s="4">
        <f t="shared" si="34"/>
        <v>24.629093339273776</v>
      </c>
      <c r="H1118" t="s">
        <v>28</v>
      </c>
      <c r="I1118" t="s">
        <v>29</v>
      </c>
      <c r="J1118">
        <v>129</v>
      </c>
      <c r="K1118">
        <v>77</v>
      </c>
      <c r="L1118">
        <v>112</v>
      </c>
      <c r="M1118">
        <v>4</v>
      </c>
      <c r="N1118" s="5">
        <v>9038.94</v>
      </c>
      <c r="O1118" t="s">
        <v>51</v>
      </c>
      <c r="P1118" t="str">
        <f t="shared" si="35"/>
        <v>Hospital Central de Quelimane</v>
      </c>
      <c r="Q1118" t="s">
        <v>24</v>
      </c>
      <c r="R1118">
        <v>5</v>
      </c>
    </row>
    <row r="1119" spans="1:18" x14ac:dyDescent="0.45">
      <c r="A1119" t="s">
        <v>1204</v>
      </c>
      <c r="B1119" s="3">
        <v>45400</v>
      </c>
      <c r="C1119">
        <v>13</v>
      </c>
      <c r="D1119" t="s">
        <v>27</v>
      </c>
      <c r="E1119">
        <v>58.9</v>
      </c>
      <c r="F1119">
        <v>157.5</v>
      </c>
      <c r="G1119" s="4">
        <f t="shared" si="34"/>
        <v>23.744016124968507</v>
      </c>
      <c r="H1119" t="s">
        <v>28</v>
      </c>
      <c r="I1119" t="s">
        <v>73</v>
      </c>
      <c r="J1119">
        <v>94</v>
      </c>
      <c r="K1119">
        <v>58</v>
      </c>
      <c r="L1119">
        <v>88</v>
      </c>
      <c r="M1119">
        <v>1</v>
      </c>
      <c r="N1119" s="5">
        <v>4207.46</v>
      </c>
      <c r="O1119" t="s">
        <v>67</v>
      </c>
      <c r="P1119" t="str">
        <f t="shared" si="35"/>
        <v>Hospital Provincial de Pemba</v>
      </c>
      <c r="Q1119" t="s">
        <v>24</v>
      </c>
      <c r="R1119">
        <v>4</v>
      </c>
    </row>
    <row r="1120" spans="1:18" x14ac:dyDescent="0.45">
      <c r="A1120" t="s">
        <v>1205</v>
      </c>
      <c r="B1120" s="3">
        <v>45083</v>
      </c>
      <c r="C1120">
        <v>73</v>
      </c>
      <c r="D1120" t="s">
        <v>27</v>
      </c>
      <c r="E1120">
        <v>57.4</v>
      </c>
      <c r="F1120">
        <v>170.9</v>
      </c>
      <c r="G1120" s="4">
        <f t="shared" si="34"/>
        <v>19.652950801542517</v>
      </c>
      <c r="H1120" t="s">
        <v>34</v>
      </c>
      <c r="I1120" t="s">
        <v>126</v>
      </c>
      <c r="J1120">
        <v>142</v>
      </c>
      <c r="K1120">
        <v>89</v>
      </c>
      <c r="L1120">
        <v>92</v>
      </c>
      <c r="M1120">
        <v>10</v>
      </c>
      <c r="N1120" s="5">
        <v>22843.93</v>
      </c>
      <c r="O1120" t="s">
        <v>51</v>
      </c>
      <c r="P1120" t="str">
        <f t="shared" si="35"/>
        <v>Hospital Central de Quelimane</v>
      </c>
      <c r="Q1120" t="s">
        <v>24</v>
      </c>
      <c r="R1120">
        <v>3</v>
      </c>
    </row>
    <row r="1121" spans="1:18" x14ac:dyDescent="0.45">
      <c r="A1121" t="s">
        <v>1206</v>
      </c>
      <c r="B1121" s="3">
        <v>45401</v>
      </c>
      <c r="C1121">
        <v>52</v>
      </c>
      <c r="D1121" t="s">
        <v>20</v>
      </c>
      <c r="E1121">
        <v>65</v>
      </c>
      <c r="F1121">
        <v>164.3</v>
      </c>
      <c r="G1121" s="4">
        <f t="shared" si="34"/>
        <v>24.078987971248946</v>
      </c>
      <c r="H1121" t="s">
        <v>21</v>
      </c>
      <c r="I1121" t="s">
        <v>22</v>
      </c>
      <c r="J1121">
        <v>137</v>
      </c>
      <c r="K1121">
        <v>76</v>
      </c>
      <c r="L1121">
        <v>110</v>
      </c>
      <c r="M1121">
        <v>4</v>
      </c>
      <c r="N1121" s="5">
        <v>9258.15</v>
      </c>
      <c r="O1121" t="s">
        <v>23</v>
      </c>
      <c r="P1121" t="str">
        <f t="shared" si="35"/>
        <v>Hospital Central de Maputo</v>
      </c>
      <c r="Q1121" t="s">
        <v>24</v>
      </c>
      <c r="R1121">
        <v>4</v>
      </c>
    </row>
    <row r="1122" spans="1:18" x14ac:dyDescent="0.45">
      <c r="A1122" t="s">
        <v>1207</v>
      </c>
      <c r="B1122" s="3">
        <v>45281</v>
      </c>
      <c r="C1122">
        <v>21</v>
      </c>
      <c r="D1122" t="s">
        <v>27</v>
      </c>
      <c r="E1122">
        <v>57.8</v>
      </c>
      <c r="F1122">
        <v>162</v>
      </c>
      <c r="G1122" s="4">
        <f t="shared" si="34"/>
        <v>22.024081694863582</v>
      </c>
      <c r="H1122" t="s">
        <v>46</v>
      </c>
      <c r="I1122" t="s">
        <v>47</v>
      </c>
      <c r="J1122">
        <v>103</v>
      </c>
      <c r="K1122">
        <v>62</v>
      </c>
      <c r="L1122">
        <v>65</v>
      </c>
      <c r="M1122">
        <v>6</v>
      </c>
      <c r="N1122" s="5">
        <v>12976.1</v>
      </c>
      <c r="O1122" t="s">
        <v>36</v>
      </c>
      <c r="P1122" t="str">
        <f t="shared" si="35"/>
        <v>Hospital Provincial de Lichinga</v>
      </c>
      <c r="Q1122" t="s">
        <v>24</v>
      </c>
      <c r="R1122">
        <v>5</v>
      </c>
    </row>
    <row r="1123" spans="1:18" x14ac:dyDescent="0.45">
      <c r="A1123" t="s">
        <v>1208</v>
      </c>
      <c r="B1123" s="3">
        <v>45602</v>
      </c>
      <c r="C1123">
        <v>29</v>
      </c>
      <c r="D1123" t="s">
        <v>27</v>
      </c>
      <c r="E1123">
        <v>66.400000000000006</v>
      </c>
      <c r="F1123">
        <v>167.1</v>
      </c>
      <c r="G1123" s="4">
        <f t="shared" si="34"/>
        <v>23.780182298017973</v>
      </c>
      <c r="H1123" t="s">
        <v>99</v>
      </c>
      <c r="I1123" t="s">
        <v>100</v>
      </c>
      <c r="J1123">
        <v>128</v>
      </c>
      <c r="K1123">
        <v>85</v>
      </c>
      <c r="L1123">
        <v>73</v>
      </c>
      <c r="M1123">
        <v>1</v>
      </c>
      <c r="N1123" s="5">
        <v>4804.74</v>
      </c>
      <c r="O1123" t="s">
        <v>51</v>
      </c>
      <c r="P1123" t="str">
        <f t="shared" si="35"/>
        <v>Hospital Central de Quelimane</v>
      </c>
      <c r="Q1123" t="s">
        <v>37</v>
      </c>
      <c r="R1123">
        <v>5</v>
      </c>
    </row>
    <row r="1124" spans="1:18" x14ac:dyDescent="0.45">
      <c r="A1124" t="s">
        <v>1209</v>
      </c>
      <c r="B1124" s="3">
        <v>45154</v>
      </c>
      <c r="C1124">
        <v>7</v>
      </c>
      <c r="D1124" t="s">
        <v>27</v>
      </c>
      <c r="E1124">
        <v>29.3</v>
      </c>
      <c r="F1124">
        <v>79.400000000000006</v>
      </c>
      <c r="G1124" s="4">
        <f t="shared" si="34"/>
        <v>46.475772322646542</v>
      </c>
      <c r="H1124" t="s">
        <v>28</v>
      </c>
      <c r="I1124" t="s">
        <v>73</v>
      </c>
      <c r="J1124">
        <v>116</v>
      </c>
      <c r="K1124">
        <v>70</v>
      </c>
      <c r="L1124">
        <v>91</v>
      </c>
      <c r="M1124">
        <v>14</v>
      </c>
      <c r="N1124" s="5">
        <v>15248.14</v>
      </c>
      <c r="O1124" t="s">
        <v>57</v>
      </c>
      <c r="P1124" t="str">
        <f t="shared" si="35"/>
        <v>Hospital Provincial de Tete</v>
      </c>
      <c r="Q1124" t="s">
        <v>37</v>
      </c>
      <c r="R1124">
        <v>3</v>
      </c>
    </row>
    <row r="1125" spans="1:18" x14ac:dyDescent="0.45">
      <c r="A1125" t="s">
        <v>1210</v>
      </c>
      <c r="B1125" s="3">
        <v>45444</v>
      </c>
      <c r="C1125">
        <v>28</v>
      </c>
      <c r="D1125" t="s">
        <v>27</v>
      </c>
      <c r="E1125">
        <v>67.7</v>
      </c>
      <c r="F1125">
        <v>160</v>
      </c>
      <c r="G1125" s="4">
        <f t="shared" si="34"/>
        <v>26.445312499999996</v>
      </c>
      <c r="H1125" t="s">
        <v>99</v>
      </c>
      <c r="I1125" t="s">
        <v>103</v>
      </c>
      <c r="J1125">
        <v>104</v>
      </c>
      <c r="K1125">
        <v>64</v>
      </c>
      <c r="L1125">
        <v>109</v>
      </c>
      <c r="M1125">
        <v>12</v>
      </c>
      <c r="N1125" s="5">
        <v>39150.370000000003</v>
      </c>
      <c r="O1125" t="s">
        <v>36</v>
      </c>
      <c r="P1125" t="str">
        <f t="shared" si="35"/>
        <v>Hospital Provincial de Lichinga</v>
      </c>
      <c r="Q1125" t="s">
        <v>24</v>
      </c>
      <c r="R1125">
        <v>4</v>
      </c>
    </row>
    <row r="1126" spans="1:18" x14ac:dyDescent="0.45">
      <c r="A1126" t="s">
        <v>1211</v>
      </c>
      <c r="B1126" s="3">
        <v>45114</v>
      </c>
      <c r="C1126">
        <v>52</v>
      </c>
      <c r="D1126" t="s">
        <v>20</v>
      </c>
      <c r="E1126">
        <v>44.1</v>
      </c>
      <c r="F1126">
        <v>154.30000000000001</v>
      </c>
      <c r="G1126" s="4">
        <f t="shared" si="34"/>
        <v>18.522804260160974</v>
      </c>
      <c r="H1126" t="s">
        <v>34</v>
      </c>
      <c r="I1126" t="s">
        <v>35</v>
      </c>
      <c r="J1126">
        <v>103</v>
      </c>
      <c r="K1126">
        <v>67</v>
      </c>
      <c r="L1126">
        <v>88</v>
      </c>
      <c r="M1126">
        <v>6</v>
      </c>
      <c r="N1126" s="5">
        <v>13608.34</v>
      </c>
      <c r="O1126" t="s">
        <v>51</v>
      </c>
      <c r="P1126" t="str">
        <f t="shared" si="35"/>
        <v>Hospital Central de Quelimane</v>
      </c>
      <c r="Q1126" t="s">
        <v>24</v>
      </c>
      <c r="R1126">
        <v>3</v>
      </c>
    </row>
    <row r="1127" spans="1:18" x14ac:dyDescent="0.45">
      <c r="A1127" t="s">
        <v>1212</v>
      </c>
      <c r="B1127" s="3">
        <v>45148</v>
      </c>
      <c r="C1127">
        <v>5</v>
      </c>
      <c r="D1127" t="s">
        <v>20</v>
      </c>
      <c r="E1127">
        <v>12.9</v>
      </c>
      <c r="F1127">
        <v>152.4</v>
      </c>
      <c r="G1127" s="4">
        <f t="shared" si="34"/>
        <v>5.5541777750222163</v>
      </c>
      <c r="H1127" t="s">
        <v>28</v>
      </c>
      <c r="I1127" t="s">
        <v>29</v>
      </c>
      <c r="J1127">
        <v>86</v>
      </c>
      <c r="K1127">
        <v>55</v>
      </c>
      <c r="L1127">
        <v>145</v>
      </c>
      <c r="M1127">
        <v>1</v>
      </c>
      <c r="N1127" s="5">
        <v>6437.9</v>
      </c>
      <c r="O1127" t="s">
        <v>57</v>
      </c>
      <c r="P1127" t="str">
        <f t="shared" si="35"/>
        <v>Hospital Provincial de Tete</v>
      </c>
      <c r="Q1127" t="s">
        <v>24</v>
      </c>
      <c r="R1127">
        <v>4</v>
      </c>
    </row>
    <row r="1128" spans="1:18" x14ac:dyDescent="0.45">
      <c r="A1128" t="s">
        <v>1213</v>
      </c>
      <c r="B1128" s="3">
        <v>45628</v>
      </c>
      <c r="C1128">
        <v>11</v>
      </c>
      <c r="D1128" t="s">
        <v>20</v>
      </c>
      <c r="E1128">
        <v>26.2</v>
      </c>
      <c r="F1128">
        <v>119.3</v>
      </c>
      <c r="G1128" s="4">
        <f t="shared" si="34"/>
        <v>18.40858486463015</v>
      </c>
      <c r="H1128" t="s">
        <v>28</v>
      </c>
      <c r="I1128" t="s">
        <v>73</v>
      </c>
      <c r="J1128">
        <v>133</v>
      </c>
      <c r="K1128">
        <v>70</v>
      </c>
      <c r="L1128">
        <v>78</v>
      </c>
      <c r="M1128">
        <v>1</v>
      </c>
      <c r="N1128" s="5">
        <v>4978.7700000000004</v>
      </c>
      <c r="O1128" t="s">
        <v>57</v>
      </c>
      <c r="P1128" t="str">
        <f t="shared" si="35"/>
        <v>Hospital Provincial de Tete</v>
      </c>
      <c r="Q1128" t="s">
        <v>24</v>
      </c>
      <c r="R1128">
        <v>5</v>
      </c>
    </row>
    <row r="1129" spans="1:18" x14ac:dyDescent="0.45">
      <c r="A1129" t="s">
        <v>1214</v>
      </c>
      <c r="B1129" s="3">
        <v>45177</v>
      </c>
      <c r="C1129">
        <v>33</v>
      </c>
      <c r="D1129" t="s">
        <v>27</v>
      </c>
      <c r="E1129">
        <v>62.1</v>
      </c>
      <c r="F1129">
        <v>156</v>
      </c>
      <c r="G1129" s="4">
        <f t="shared" si="34"/>
        <v>25.517751479289938</v>
      </c>
      <c r="H1129" t="s">
        <v>99</v>
      </c>
      <c r="I1129" t="s">
        <v>105</v>
      </c>
      <c r="J1129">
        <v>107</v>
      </c>
      <c r="K1129">
        <v>59</v>
      </c>
      <c r="L1129">
        <v>99</v>
      </c>
      <c r="M1129">
        <v>2</v>
      </c>
      <c r="N1129" s="5">
        <v>6506.17</v>
      </c>
      <c r="O1129" t="s">
        <v>67</v>
      </c>
      <c r="P1129" t="str">
        <f t="shared" si="35"/>
        <v>Hospital Provincial de Pemba</v>
      </c>
      <c r="Q1129" t="s">
        <v>24</v>
      </c>
      <c r="R1129">
        <v>4</v>
      </c>
    </row>
    <row r="1130" spans="1:18" x14ac:dyDescent="0.45">
      <c r="A1130" t="s">
        <v>1215</v>
      </c>
      <c r="B1130" s="3">
        <v>45258</v>
      </c>
      <c r="C1130">
        <v>45</v>
      </c>
      <c r="D1130" t="s">
        <v>20</v>
      </c>
      <c r="E1130">
        <v>75.599999999999994</v>
      </c>
      <c r="F1130">
        <v>164.7</v>
      </c>
      <c r="G1130" s="4">
        <f t="shared" si="34"/>
        <v>27.869847810723925</v>
      </c>
      <c r="H1130" t="s">
        <v>21</v>
      </c>
      <c r="I1130" t="s">
        <v>22</v>
      </c>
      <c r="J1130">
        <v>139</v>
      </c>
      <c r="K1130">
        <v>87</v>
      </c>
      <c r="L1130">
        <v>96</v>
      </c>
      <c r="M1130">
        <v>1</v>
      </c>
      <c r="N1130" s="5">
        <v>4872.7299999999996</v>
      </c>
      <c r="O1130" t="s">
        <v>30</v>
      </c>
      <c r="P1130" t="str">
        <f t="shared" si="35"/>
        <v>Hospital Provincial de Inhambane</v>
      </c>
      <c r="Q1130" t="s">
        <v>24</v>
      </c>
      <c r="R1130">
        <v>5</v>
      </c>
    </row>
    <row r="1131" spans="1:18" x14ac:dyDescent="0.45">
      <c r="A1131" t="s">
        <v>1216</v>
      </c>
      <c r="B1131" s="3">
        <v>45414</v>
      </c>
      <c r="C1131">
        <v>18</v>
      </c>
      <c r="D1131" t="s">
        <v>20</v>
      </c>
      <c r="E1131">
        <v>55</v>
      </c>
      <c r="F1131">
        <v>148.30000000000001</v>
      </c>
      <c r="G1131" s="4">
        <f t="shared" si="34"/>
        <v>25.008082157460887</v>
      </c>
      <c r="H1131" t="s">
        <v>91</v>
      </c>
      <c r="I1131" t="s">
        <v>116</v>
      </c>
      <c r="J1131">
        <v>123</v>
      </c>
      <c r="K1131">
        <v>72</v>
      </c>
      <c r="L1131">
        <v>74</v>
      </c>
      <c r="M1131">
        <v>5</v>
      </c>
      <c r="N1131" s="5">
        <v>7683.54</v>
      </c>
      <c r="O1131" t="s">
        <v>67</v>
      </c>
      <c r="P1131" t="str">
        <f t="shared" si="35"/>
        <v>Hospital Provincial de Pemba</v>
      </c>
      <c r="Q1131" t="s">
        <v>24</v>
      </c>
      <c r="R1131">
        <v>4</v>
      </c>
    </row>
    <row r="1132" spans="1:18" x14ac:dyDescent="0.45">
      <c r="A1132" t="s">
        <v>1217</v>
      </c>
      <c r="B1132" s="3">
        <v>44944</v>
      </c>
      <c r="C1132">
        <v>51</v>
      </c>
      <c r="D1132" t="s">
        <v>20</v>
      </c>
      <c r="E1132">
        <v>59.5</v>
      </c>
      <c r="F1132">
        <v>157.80000000000001</v>
      </c>
      <c r="G1132" s="4">
        <f t="shared" si="34"/>
        <v>23.894776240480237</v>
      </c>
      <c r="H1132" t="s">
        <v>55</v>
      </c>
      <c r="I1132" t="s">
        <v>56</v>
      </c>
      <c r="J1132">
        <v>113</v>
      </c>
      <c r="K1132">
        <v>76</v>
      </c>
      <c r="L1132">
        <v>83</v>
      </c>
      <c r="M1132">
        <v>2</v>
      </c>
      <c r="N1132" s="5">
        <v>4327.3999999999996</v>
      </c>
      <c r="O1132" t="s">
        <v>38</v>
      </c>
      <c r="P1132" t="str">
        <f t="shared" si="35"/>
        <v>Hospital Provincial de Xai-Xai</v>
      </c>
      <c r="Q1132" t="s">
        <v>24</v>
      </c>
      <c r="R1132">
        <v>3</v>
      </c>
    </row>
    <row r="1133" spans="1:18" x14ac:dyDescent="0.45">
      <c r="A1133" t="s">
        <v>1218</v>
      </c>
      <c r="B1133" s="3">
        <v>44942</v>
      </c>
      <c r="C1133">
        <v>46</v>
      </c>
      <c r="D1133" t="s">
        <v>20</v>
      </c>
      <c r="E1133">
        <v>75</v>
      </c>
      <c r="F1133">
        <v>175</v>
      </c>
      <c r="G1133" s="4">
        <f t="shared" si="34"/>
        <v>24.489795918367346</v>
      </c>
      <c r="H1133" t="s">
        <v>46</v>
      </c>
      <c r="I1133" t="s">
        <v>66</v>
      </c>
      <c r="J1133">
        <v>127</v>
      </c>
      <c r="K1133">
        <v>81</v>
      </c>
      <c r="L1133">
        <v>112</v>
      </c>
      <c r="M1133">
        <v>5</v>
      </c>
      <c r="N1133" s="5">
        <v>12979.53</v>
      </c>
      <c r="O1133" t="s">
        <v>43</v>
      </c>
      <c r="P1133" t="str">
        <f t="shared" si="35"/>
        <v>Hospital Central da Beira</v>
      </c>
      <c r="Q1133" t="s">
        <v>24</v>
      </c>
      <c r="R1133">
        <v>4</v>
      </c>
    </row>
    <row r="1134" spans="1:18" x14ac:dyDescent="0.45">
      <c r="A1134" t="s">
        <v>1219</v>
      </c>
      <c r="B1134" s="3">
        <v>45342</v>
      </c>
      <c r="C1134">
        <v>29</v>
      </c>
      <c r="D1134" t="s">
        <v>20</v>
      </c>
      <c r="E1134">
        <v>71</v>
      </c>
      <c r="F1134">
        <v>164.2</v>
      </c>
      <c r="G1134" s="4">
        <f t="shared" si="34"/>
        <v>26.33370967047999</v>
      </c>
      <c r="H1134" t="s">
        <v>55</v>
      </c>
      <c r="I1134" t="s">
        <v>56</v>
      </c>
      <c r="J1134">
        <v>97</v>
      </c>
      <c r="K1134">
        <v>60</v>
      </c>
      <c r="L1134">
        <v>110</v>
      </c>
      <c r="M1134">
        <v>5</v>
      </c>
      <c r="N1134" s="5">
        <v>10137.6</v>
      </c>
      <c r="O1134" t="s">
        <v>51</v>
      </c>
      <c r="P1134" t="str">
        <f t="shared" si="35"/>
        <v>Hospital Central de Quelimane</v>
      </c>
      <c r="Q1134" t="s">
        <v>24</v>
      </c>
      <c r="R1134">
        <v>5</v>
      </c>
    </row>
    <row r="1135" spans="1:18" x14ac:dyDescent="0.45">
      <c r="A1135" t="s">
        <v>1220</v>
      </c>
      <c r="B1135" s="3">
        <v>45639</v>
      </c>
      <c r="C1135">
        <v>49</v>
      </c>
      <c r="D1135" t="s">
        <v>27</v>
      </c>
      <c r="E1135">
        <v>82.4</v>
      </c>
      <c r="F1135">
        <v>152.69999999999999</v>
      </c>
      <c r="G1135" s="4">
        <f t="shared" si="34"/>
        <v>35.338583514636568</v>
      </c>
      <c r="H1135" t="s">
        <v>46</v>
      </c>
      <c r="I1135" t="s">
        <v>66</v>
      </c>
      <c r="J1135">
        <v>145</v>
      </c>
      <c r="K1135">
        <v>84</v>
      </c>
      <c r="L1135">
        <v>75</v>
      </c>
      <c r="M1135">
        <v>4</v>
      </c>
      <c r="N1135" s="5">
        <v>7398.05</v>
      </c>
      <c r="O1135" t="s">
        <v>23</v>
      </c>
      <c r="P1135" t="str">
        <f t="shared" si="35"/>
        <v>Hospital Central de Maputo</v>
      </c>
      <c r="Q1135" t="s">
        <v>24</v>
      </c>
      <c r="R1135">
        <v>4</v>
      </c>
    </row>
    <row r="1136" spans="1:18" x14ac:dyDescent="0.45">
      <c r="A1136" t="s">
        <v>1221</v>
      </c>
      <c r="B1136" s="3">
        <v>45119</v>
      </c>
      <c r="C1136">
        <v>18</v>
      </c>
      <c r="D1136" t="s">
        <v>20</v>
      </c>
      <c r="E1136">
        <v>69.599999999999994</v>
      </c>
      <c r="F1136">
        <v>164.9</v>
      </c>
      <c r="G1136" s="4">
        <f t="shared" si="34"/>
        <v>25.595754046868912</v>
      </c>
      <c r="H1136" t="s">
        <v>34</v>
      </c>
      <c r="I1136" t="s">
        <v>126</v>
      </c>
      <c r="J1136">
        <v>113</v>
      </c>
      <c r="K1136">
        <v>70</v>
      </c>
      <c r="L1136">
        <v>119</v>
      </c>
      <c r="M1136">
        <v>5</v>
      </c>
      <c r="N1136" s="5">
        <v>11864.56</v>
      </c>
      <c r="O1136" t="s">
        <v>36</v>
      </c>
      <c r="P1136" t="str">
        <f t="shared" si="35"/>
        <v>Hospital Provincial de Lichinga</v>
      </c>
      <c r="Q1136" t="s">
        <v>24</v>
      </c>
      <c r="R1136">
        <v>4</v>
      </c>
    </row>
    <row r="1137" spans="1:18" x14ac:dyDescent="0.45">
      <c r="A1137" t="s">
        <v>1222</v>
      </c>
      <c r="B1137" s="3">
        <v>45217</v>
      </c>
      <c r="C1137">
        <v>51</v>
      </c>
      <c r="D1137" t="s">
        <v>27</v>
      </c>
      <c r="E1137">
        <v>64.099999999999994</v>
      </c>
      <c r="F1137">
        <v>172.4</v>
      </c>
      <c r="G1137" s="4">
        <f t="shared" si="34"/>
        <v>21.566690532458374</v>
      </c>
      <c r="H1137" t="s">
        <v>21</v>
      </c>
      <c r="I1137" t="s">
        <v>22</v>
      </c>
      <c r="J1137">
        <v>134</v>
      </c>
      <c r="K1137">
        <v>80</v>
      </c>
      <c r="L1137">
        <v>81</v>
      </c>
      <c r="M1137">
        <v>2</v>
      </c>
      <c r="N1137" s="5">
        <v>6018.63</v>
      </c>
      <c r="O1137" t="s">
        <v>57</v>
      </c>
      <c r="P1137" t="str">
        <f t="shared" si="35"/>
        <v>Hospital Provincial de Tete</v>
      </c>
      <c r="Q1137" t="s">
        <v>202</v>
      </c>
      <c r="R1137">
        <v>5</v>
      </c>
    </row>
    <row r="1138" spans="1:18" x14ac:dyDescent="0.45">
      <c r="A1138" t="s">
        <v>1223</v>
      </c>
      <c r="B1138" s="3">
        <v>45018</v>
      </c>
      <c r="C1138">
        <v>38</v>
      </c>
      <c r="D1138" t="s">
        <v>27</v>
      </c>
      <c r="E1138">
        <v>56</v>
      </c>
      <c r="F1138">
        <v>170.3</v>
      </c>
      <c r="G1138" s="4">
        <f t="shared" si="34"/>
        <v>19.308953251300164</v>
      </c>
      <c r="H1138" t="s">
        <v>99</v>
      </c>
      <c r="I1138" t="s">
        <v>100</v>
      </c>
      <c r="J1138">
        <v>124</v>
      </c>
      <c r="K1138">
        <v>76</v>
      </c>
      <c r="L1138">
        <v>87</v>
      </c>
      <c r="M1138">
        <v>1</v>
      </c>
      <c r="N1138" s="5">
        <v>2907.72</v>
      </c>
      <c r="O1138" t="s">
        <v>31</v>
      </c>
      <c r="P1138" t="str">
        <f t="shared" si="35"/>
        <v>Hospital Provincial da Matola</v>
      </c>
      <c r="Q1138" t="s">
        <v>24</v>
      </c>
      <c r="R1138">
        <v>4</v>
      </c>
    </row>
    <row r="1139" spans="1:18" x14ac:dyDescent="0.45">
      <c r="A1139" t="s">
        <v>1224</v>
      </c>
      <c r="B1139" s="3">
        <v>45205</v>
      </c>
      <c r="C1139">
        <v>41</v>
      </c>
      <c r="D1139" t="s">
        <v>27</v>
      </c>
      <c r="E1139">
        <v>66.099999999999994</v>
      </c>
      <c r="F1139">
        <v>158.9</v>
      </c>
      <c r="G1139" s="4">
        <f t="shared" si="34"/>
        <v>26.17903688867889</v>
      </c>
      <c r="H1139" t="s">
        <v>55</v>
      </c>
      <c r="I1139" t="s">
        <v>56</v>
      </c>
      <c r="J1139">
        <v>104</v>
      </c>
      <c r="K1139">
        <v>57</v>
      </c>
      <c r="L1139">
        <v>108</v>
      </c>
      <c r="M1139">
        <v>1</v>
      </c>
      <c r="N1139" s="5">
        <v>5627.18</v>
      </c>
      <c r="O1139" t="s">
        <v>57</v>
      </c>
      <c r="P1139" t="str">
        <f t="shared" si="35"/>
        <v>Hospital Provincial de Tete</v>
      </c>
      <c r="Q1139" t="s">
        <v>24</v>
      </c>
      <c r="R1139">
        <v>3</v>
      </c>
    </row>
    <row r="1140" spans="1:18" x14ac:dyDescent="0.45">
      <c r="A1140" t="s">
        <v>1225</v>
      </c>
      <c r="B1140" s="3">
        <v>45285</v>
      </c>
      <c r="C1140">
        <v>5</v>
      </c>
      <c r="D1140" t="s">
        <v>20</v>
      </c>
      <c r="E1140">
        <v>18.2</v>
      </c>
      <c r="F1140">
        <v>133.1</v>
      </c>
      <c r="G1140" s="4">
        <f t="shared" si="34"/>
        <v>10.27342552697875</v>
      </c>
      <c r="H1140" t="s">
        <v>28</v>
      </c>
      <c r="I1140" t="s">
        <v>73</v>
      </c>
      <c r="J1140">
        <v>106</v>
      </c>
      <c r="K1140">
        <v>60</v>
      </c>
      <c r="L1140">
        <v>137</v>
      </c>
      <c r="M1140">
        <v>7</v>
      </c>
      <c r="N1140" s="5">
        <v>19626.82</v>
      </c>
      <c r="O1140" t="s">
        <v>57</v>
      </c>
      <c r="P1140" t="str">
        <f t="shared" si="35"/>
        <v>Hospital Provincial de Tete</v>
      </c>
      <c r="Q1140" t="s">
        <v>24</v>
      </c>
      <c r="R1140">
        <v>4</v>
      </c>
    </row>
    <row r="1141" spans="1:18" x14ac:dyDescent="0.45">
      <c r="A1141" t="s">
        <v>1226</v>
      </c>
      <c r="B1141" s="3">
        <v>45270</v>
      </c>
      <c r="C1141">
        <v>33</v>
      </c>
      <c r="D1141" t="s">
        <v>27</v>
      </c>
      <c r="E1141">
        <v>60.8</v>
      </c>
      <c r="F1141">
        <v>175.9</v>
      </c>
      <c r="G1141" s="4">
        <f t="shared" si="34"/>
        <v>19.650422855768802</v>
      </c>
      <c r="H1141" t="s">
        <v>91</v>
      </c>
      <c r="I1141" t="s">
        <v>110</v>
      </c>
      <c r="J1141">
        <v>123</v>
      </c>
      <c r="K1141">
        <v>75</v>
      </c>
      <c r="L1141">
        <v>127</v>
      </c>
      <c r="M1141">
        <v>10</v>
      </c>
      <c r="N1141" s="5">
        <v>27695.48</v>
      </c>
      <c r="O1141" t="s">
        <v>38</v>
      </c>
      <c r="P1141" t="str">
        <f t="shared" si="35"/>
        <v>Hospital Provincial de Xai-Xai</v>
      </c>
      <c r="Q1141" t="s">
        <v>24</v>
      </c>
      <c r="R1141">
        <v>5</v>
      </c>
    </row>
    <row r="1142" spans="1:18" x14ac:dyDescent="0.45">
      <c r="A1142" t="s">
        <v>1227</v>
      </c>
      <c r="B1142" s="3">
        <v>45553</v>
      </c>
      <c r="C1142">
        <v>58</v>
      </c>
      <c r="D1142" t="s">
        <v>20</v>
      </c>
      <c r="E1142">
        <v>78.5</v>
      </c>
      <c r="F1142">
        <v>157.80000000000001</v>
      </c>
      <c r="G1142" s="4">
        <f t="shared" si="34"/>
        <v>31.525040922314261</v>
      </c>
      <c r="H1142" t="s">
        <v>91</v>
      </c>
      <c r="I1142" t="s">
        <v>110</v>
      </c>
      <c r="J1142">
        <v>98</v>
      </c>
      <c r="K1142">
        <v>60</v>
      </c>
      <c r="L1142">
        <v>115</v>
      </c>
      <c r="M1142">
        <v>1</v>
      </c>
      <c r="N1142" s="5">
        <v>3658.2</v>
      </c>
      <c r="O1142" t="s">
        <v>43</v>
      </c>
      <c r="P1142" t="str">
        <f t="shared" si="35"/>
        <v>Hospital Central da Beira</v>
      </c>
      <c r="Q1142" t="s">
        <v>24</v>
      </c>
      <c r="R1142">
        <v>5</v>
      </c>
    </row>
    <row r="1143" spans="1:18" x14ac:dyDescent="0.45">
      <c r="A1143" t="s">
        <v>1228</v>
      </c>
      <c r="B1143" s="3">
        <v>45600</v>
      </c>
      <c r="C1143">
        <v>1</v>
      </c>
      <c r="D1143" t="s">
        <v>20</v>
      </c>
      <c r="E1143">
        <v>24</v>
      </c>
      <c r="F1143">
        <v>92.4</v>
      </c>
      <c r="G1143" s="4">
        <f t="shared" si="34"/>
        <v>28.110417720807327</v>
      </c>
      <c r="H1143" t="s">
        <v>28</v>
      </c>
      <c r="I1143" t="s">
        <v>50</v>
      </c>
      <c r="J1143">
        <v>97</v>
      </c>
      <c r="K1143">
        <v>55</v>
      </c>
      <c r="L1143">
        <v>90</v>
      </c>
      <c r="M1143">
        <v>6</v>
      </c>
      <c r="N1143" s="5">
        <v>17602.37</v>
      </c>
      <c r="O1143" t="s">
        <v>57</v>
      </c>
      <c r="P1143" t="str">
        <f t="shared" si="35"/>
        <v>Hospital Provincial de Tete</v>
      </c>
      <c r="Q1143" t="s">
        <v>202</v>
      </c>
      <c r="R1143">
        <v>2</v>
      </c>
    </row>
    <row r="1144" spans="1:18" x14ac:dyDescent="0.45">
      <c r="A1144" t="s">
        <v>1229</v>
      </c>
      <c r="B1144" s="3">
        <v>45088</v>
      </c>
      <c r="C1144">
        <v>59</v>
      </c>
      <c r="D1144" t="s">
        <v>20</v>
      </c>
      <c r="E1144">
        <v>77.3</v>
      </c>
      <c r="F1144">
        <v>172.5</v>
      </c>
      <c r="G1144" s="4">
        <f t="shared" si="34"/>
        <v>25.977735769796258</v>
      </c>
      <c r="H1144" t="s">
        <v>34</v>
      </c>
      <c r="I1144" t="s">
        <v>35</v>
      </c>
      <c r="J1144">
        <v>133</v>
      </c>
      <c r="K1144">
        <v>86</v>
      </c>
      <c r="L1144">
        <v>107</v>
      </c>
      <c r="M1144">
        <v>9</v>
      </c>
      <c r="N1144" s="5">
        <v>20031.86</v>
      </c>
      <c r="O1144" t="s">
        <v>57</v>
      </c>
      <c r="P1144" t="str">
        <f t="shared" si="35"/>
        <v>Hospital Provincial de Tete</v>
      </c>
      <c r="Q1144" t="s">
        <v>37</v>
      </c>
      <c r="R1144">
        <v>4</v>
      </c>
    </row>
    <row r="1145" spans="1:18" x14ac:dyDescent="0.45">
      <c r="A1145" t="s">
        <v>1230</v>
      </c>
      <c r="B1145" s="3">
        <v>45410</v>
      </c>
      <c r="C1145">
        <v>28</v>
      </c>
      <c r="D1145" t="s">
        <v>27</v>
      </c>
      <c r="E1145">
        <v>64.400000000000006</v>
      </c>
      <c r="F1145">
        <v>164.3</v>
      </c>
      <c r="G1145" s="4">
        <f t="shared" si="34"/>
        <v>23.856720389975884</v>
      </c>
      <c r="H1145" t="s">
        <v>99</v>
      </c>
      <c r="I1145" t="s">
        <v>103</v>
      </c>
      <c r="J1145">
        <v>106</v>
      </c>
      <c r="K1145">
        <v>73</v>
      </c>
      <c r="L1145">
        <v>99</v>
      </c>
      <c r="M1145">
        <v>1</v>
      </c>
      <c r="N1145" s="5">
        <v>3856.81</v>
      </c>
      <c r="O1145" t="s">
        <v>23</v>
      </c>
      <c r="P1145" t="str">
        <f t="shared" si="35"/>
        <v>Hospital Central de Maputo</v>
      </c>
      <c r="Q1145" t="s">
        <v>24</v>
      </c>
      <c r="R1145">
        <v>5</v>
      </c>
    </row>
    <row r="1146" spans="1:18" x14ac:dyDescent="0.45">
      <c r="A1146" t="s">
        <v>1231</v>
      </c>
      <c r="B1146" s="3">
        <v>45291</v>
      </c>
      <c r="C1146">
        <v>3</v>
      </c>
      <c r="D1146" t="s">
        <v>20</v>
      </c>
      <c r="E1146">
        <v>22.9</v>
      </c>
      <c r="F1146">
        <v>85.8</v>
      </c>
      <c r="G1146" s="4">
        <f t="shared" si="34"/>
        <v>31.107198939366771</v>
      </c>
      <c r="H1146" t="s">
        <v>28</v>
      </c>
      <c r="I1146" t="s">
        <v>75</v>
      </c>
      <c r="J1146">
        <v>87</v>
      </c>
      <c r="K1146">
        <v>61</v>
      </c>
      <c r="L1146">
        <v>65</v>
      </c>
      <c r="M1146">
        <v>3</v>
      </c>
      <c r="N1146" s="5">
        <v>7994.82</v>
      </c>
      <c r="O1146" t="s">
        <v>57</v>
      </c>
      <c r="P1146" t="str">
        <f t="shared" si="35"/>
        <v>Hospital Provincial de Tete</v>
      </c>
      <c r="Q1146" t="s">
        <v>24</v>
      </c>
      <c r="R1146">
        <v>5</v>
      </c>
    </row>
    <row r="1147" spans="1:18" x14ac:dyDescent="0.45">
      <c r="A1147" t="s">
        <v>1232</v>
      </c>
      <c r="B1147" s="3">
        <v>44929</v>
      </c>
      <c r="C1147">
        <v>57</v>
      </c>
      <c r="D1147" t="s">
        <v>27</v>
      </c>
      <c r="E1147">
        <v>72.8</v>
      </c>
      <c r="F1147">
        <v>168.6</v>
      </c>
      <c r="G1147" s="4">
        <f t="shared" si="34"/>
        <v>25.610392753666016</v>
      </c>
      <c r="H1147" t="s">
        <v>34</v>
      </c>
      <c r="I1147" t="s">
        <v>138</v>
      </c>
      <c r="J1147">
        <v>119</v>
      </c>
      <c r="K1147">
        <v>70</v>
      </c>
      <c r="L1147">
        <v>103</v>
      </c>
      <c r="M1147">
        <v>1</v>
      </c>
      <c r="N1147" s="5">
        <v>3455.14</v>
      </c>
      <c r="O1147" t="s">
        <v>23</v>
      </c>
      <c r="P1147" t="str">
        <f t="shared" si="35"/>
        <v>Hospital Central de Maputo</v>
      </c>
      <c r="Q1147" t="s">
        <v>24</v>
      </c>
      <c r="R1147">
        <v>4</v>
      </c>
    </row>
    <row r="1148" spans="1:18" x14ac:dyDescent="0.45">
      <c r="A1148" t="s">
        <v>1233</v>
      </c>
      <c r="B1148" s="3">
        <v>45306</v>
      </c>
      <c r="C1148">
        <v>25</v>
      </c>
      <c r="D1148" t="s">
        <v>27</v>
      </c>
      <c r="E1148">
        <v>73.8</v>
      </c>
      <c r="F1148">
        <v>168.5</v>
      </c>
      <c r="G1148" s="4">
        <f t="shared" si="34"/>
        <v>25.993008655530996</v>
      </c>
      <c r="H1148" t="s">
        <v>99</v>
      </c>
      <c r="I1148" t="s">
        <v>100</v>
      </c>
      <c r="J1148">
        <v>124</v>
      </c>
      <c r="K1148">
        <v>84</v>
      </c>
      <c r="L1148">
        <v>115</v>
      </c>
      <c r="M1148">
        <v>1</v>
      </c>
      <c r="N1148" s="5">
        <v>3119.94</v>
      </c>
      <c r="O1148" t="s">
        <v>43</v>
      </c>
      <c r="P1148" t="str">
        <f t="shared" si="35"/>
        <v>Hospital Central da Beira</v>
      </c>
      <c r="Q1148" t="s">
        <v>24</v>
      </c>
      <c r="R1148">
        <v>1</v>
      </c>
    </row>
    <row r="1149" spans="1:18" x14ac:dyDescent="0.45">
      <c r="A1149" t="s">
        <v>1234</v>
      </c>
      <c r="B1149" s="3">
        <v>45164</v>
      </c>
      <c r="C1149">
        <v>18</v>
      </c>
      <c r="D1149" t="s">
        <v>27</v>
      </c>
      <c r="E1149">
        <v>66.900000000000006</v>
      </c>
      <c r="F1149">
        <v>170.5</v>
      </c>
      <c r="G1149" s="4">
        <f t="shared" si="34"/>
        <v>23.013217980581523</v>
      </c>
      <c r="H1149" t="s">
        <v>46</v>
      </c>
      <c r="I1149" t="s">
        <v>66</v>
      </c>
      <c r="J1149">
        <v>92</v>
      </c>
      <c r="K1149">
        <v>64</v>
      </c>
      <c r="L1149">
        <v>91</v>
      </c>
      <c r="M1149">
        <v>9</v>
      </c>
      <c r="N1149" s="5">
        <v>29328.25</v>
      </c>
      <c r="O1149" t="s">
        <v>51</v>
      </c>
      <c r="P1149" t="str">
        <f t="shared" si="35"/>
        <v>Hospital Central de Quelimane</v>
      </c>
      <c r="Q1149" t="s">
        <v>24</v>
      </c>
      <c r="R1149">
        <v>5</v>
      </c>
    </row>
    <row r="1150" spans="1:18" x14ac:dyDescent="0.45">
      <c r="A1150" t="s">
        <v>1235</v>
      </c>
      <c r="B1150" s="3">
        <v>45317</v>
      </c>
      <c r="C1150">
        <v>2</v>
      </c>
      <c r="D1150" t="s">
        <v>20</v>
      </c>
      <c r="E1150">
        <v>27.1</v>
      </c>
      <c r="F1150">
        <v>86.8</v>
      </c>
      <c r="G1150" s="4">
        <f t="shared" si="34"/>
        <v>35.969122300324919</v>
      </c>
      <c r="H1150" t="s">
        <v>28</v>
      </c>
      <c r="I1150" t="s">
        <v>73</v>
      </c>
      <c r="J1150">
        <v>93</v>
      </c>
      <c r="K1150">
        <v>58</v>
      </c>
      <c r="L1150">
        <v>98</v>
      </c>
      <c r="M1150">
        <v>1</v>
      </c>
      <c r="N1150" s="5">
        <v>3520.22</v>
      </c>
      <c r="O1150" t="s">
        <v>63</v>
      </c>
      <c r="P1150" t="str">
        <f t="shared" si="35"/>
        <v>Hospital Central de Nampula</v>
      </c>
      <c r="Q1150" t="s">
        <v>24</v>
      </c>
      <c r="R1150">
        <v>2</v>
      </c>
    </row>
    <row r="1151" spans="1:18" x14ac:dyDescent="0.45">
      <c r="A1151" t="s">
        <v>1236</v>
      </c>
      <c r="B1151" s="3">
        <v>45092</v>
      </c>
      <c r="C1151">
        <v>40</v>
      </c>
      <c r="D1151" t="s">
        <v>27</v>
      </c>
      <c r="E1151">
        <v>82.2</v>
      </c>
      <c r="F1151">
        <v>169.3</v>
      </c>
      <c r="G1151" s="4">
        <f t="shared" si="34"/>
        <v>28.67859700954104</v>
      </c>
      <c r="H1151" t="s">
        <v>41</v>
      </c>
      <c r="I1151" t="s">
        <v>42</v>
      </c>
      <c r="J1151">
        <v>113</v>
      </c>
      <c r="K1151">
        <v>60</v>
      </c>
      <c r="L1151">
        <v>90</v>
      </c>
      <c r="M1151">
        <v>1</v>
      </c>
      <c r="N1151" s="5">
        <v>5719.42</v>
      </c>
      <c r="O1151" t="s">
        <v>31</v>
      </c>
      <c r="P1151" t="str">
        <f t="shared" si="35"/>
        <v>Hospital Provincial da Matola</v>
      </c>
      <c r="Q1151" t="s">
        <v>24</v>
      </c>
      <c r="R1151">
        <v>3</v>
      </c>
    </row>
    <row r="1152" spans="1:18" x14ac:dyDescent="0.45">
      <c r="A1152" t="s">
        <v>1237</v>
      </c>
      <c r="B1152" s="3">
        <v>45337</v>
      </c>
      <c r="C1152">
        <v>0</v>
      </c>
      <c r="D1152" t="s">
        <v>20</v>
      </c>
      <c r="E1152">
        <v>30.6</v>
      </c>
      <c r="F1152">
        <v>89</v>
      </c>
      <c r="G1152" s="4">
        <f t="shared" si="34"/>
        <v>38.631485923494509</v>
      </c>
      <c r="H1152" t="s">
        <v>28</v>
      </c>
      <c r="I1152" t="s">
        <v>75</v>
      </c>
      <c r="J1152">
        <v>101</v>
      </c>
      <c r="K1152">
        <v>57</v>
      </c>
      <c r="L1152">
        <v>96</v>
      </c>
      <c r="M1152">
        <v>5</v>
      </c>
      <c r="N1152" s="5">
        <v>9305.64</v>
      </c>
      <c r="O1152" t="s">
        <v>63</v>
      </c>
      <c r="P1152" t="str">
        <f t="shared" si="35"/>
        <v>Hospital Central de Nampula</v>
      </c>
      <c r="Q1152" t="s">
        <v>24</v>
      </c>
      <c r="R1152">
        <v>5</v>
      </c>
    </row>
    <row r="1153" spans="1:18" x14ac:dyDescent="0.45">
      <c r="A1153" t="s">
        <v>1238</v>
      </c>
      <c r="B1153" s="3">
        <v>45375</v>
      </c>
      <c r="C1153">
        <v>15</v>
      </c>
      <c r="D1153" t="s">
        <v>27</v>
      </c>
      <c r="E1153">
        <v>53.6</v>
      </c>
      <c r="F1153">
        <v>163</v>
      </c>
      <c r="G1153" s="4">
        <f t="shared" si="34"/>
        <v>20.17388686062705</v>
      </c>
      <c r="H1153" t="s">
        <v>28</v>
      </c>
      <c r="I1153" t="s">
        <v>50</v>
      </c>
      <c r="J1153">
        <v>109</v>
      </c>
      <c r="K1153">
        <v>66</v>
      </c>
      <c r="L1153">
        <v>84</v>
      </c>
      <c r="M1153">
        <v>1</v>
      </c>
      <c r="N1153" s="5">
        <v>4202.0200000000004</v>
      </c>
      <c r="O1153" t="s">
        <v>31</v>
      </c>
      <c r="P1153" t="str">
        <f t="shared" si="35"/>
        <v>Hospital Provincial da Matola</v>
      </c>
      <c r="Q1153" t="s">
        <v>24</v>
      </c>
      <c r="R1153">
        <v>5</v>
      </c>
    </row>
    <row r="1154" spans="1:18" x14ac:dyDescent="0.45">
      <c r="A1154" t="s">
        <v>1239</v>
      </c>
      <c r="B1154" s="3">
        <v>45426</v>
      </c>
      <c r="C1154">
        <v>6</v>
      </c>
      <c r="D1154" t="s">
        <v>20</v>
      </c>
      <c r="E1154">
        <v>18.899999999999999</v>
      </c>
      <c r="F1154">
        <v>127.7</v>
      </c>
      <c r="G1154" s="4">
        <f t="shared" ref="G1154:G1217" si="36">E1154/((F1154/100)^2)</f>
        <v>11.589908562366888</v>
      </c>
      <c r="H1154" t="s">
        <v>28</v>
      </c>
      <c r="I1154" t="s">
        <v>50</v>
      </c>
      <c r="J1154">
        <v>85</v>
      </c>
      <c r="K1154">
        <v>55</v>
      </c>
      <c r="L1154">
        <v>93</v>
      </c>
      <c r="M1154">
        <v>1</v>
      </c>
      <c r="N1154" s="5">
        <v>4670.47</v>
      </c>
      <c r="O1154" t="s">
        <v>57</v>
      </c>
      <c r="P1154" t="str">
        <f t="shared" ref="P1154:P1217" si="37">INDEX($U$2:$U$12,MATCH(O1154,$T$2:$T$12,0))</f>
        <v>Hospital Provincial de Tete</v>
      </c>
      <c r="Q1154" t="s">
        <v>24</v>
      </c>
      <c r="R1154">
        <v>5</v>
      </c>
    </row>
    <row r="1155" spans="1:18" x14ac:dyDescent="0.45">
      <c r="A1155" t="s">
        <v>1240</v>
      </c>
      <c r="B1155" s="3">
        <v>44943</v>
      </c>
      <c r="C1155">
        <v>43</v>
      </c>
      <c r="D1155" t="s">
        <v>20</v>
      </c>
      <c r="E1155">
        <v>57.4</v>
      </c>
      <c r="F1155">
        <v>167.6</v>
      </c>
      <c r="G1155" s="4">
        <f t="shared" si="36"/>
        <v>20.434492854335531</v>
      </c>
      <c r="H1155" t="s">
        <v>41</v>
      </c>
      <c r="I1155" t="s">
        <v>113</v>
      </c>
      <c r="J1155">
        <v>166</v>
      </c>
      <c r="K1155">
        <v>113</v>
      </c>
      <c r="L1155">
        <v>102</v>
      </c>
      <c r="M1155">
        <v>5</v>
      </c>
      <c r="N1155" s="5">
        <v>16440.080000000002</v>
      </c>
      <c r="O1155" t="s">
        <v>63</v>
      </c>
      <c r="P1155" t="str">
        <f t="shared" si="37"/>
        <v>Hospital Central de Nampula</v>
      </c>
      <c r="Q1155" t="s">
        <v>24</v>
      </c>
      <c r="R1155">
        <v>5</v>
      </c>
    </row>
    <row r="1156" spans="1:18" x14ac:dyDescent="0.45">
      <c r="A1156" t="s">
        <v>1241</v>
      </c>
      <c r="B1156" s="3">
        <v>45031</v>
      </c>
      <c r="C1156">
        <v>32</v>
      </c>
      <c r="D1156" t="s">
        <v>27</v>
      </c>
      <c r="E1156">
        <v>49.6</v>
      </c>
      <c r="F1156">
        <v>155.6</v>
      </c>
      <c r="G1156" s="4">
        <f t="shared" si="36"/>
        <v>20.486251082136651</v>
      </c>
      <c r="H1156" t="s">
        <v>46</v>
      </c>
      <c r="I1156" t="s">
        <v>108</v>
      </c>
      <c r="J1156">
        <v>121</v>
      </c>
      <c r="K1156">
        <v>81</v>
      </c>
      <c r="L1156">
        <v>65</v>
      </c>
      <c r="M1156">
        <v>1</v>
      </c>
      <c r="N1156" s="5">
        <v>3304.12</v>
      </c>
      <c r="O1156" t="s">
        <v>57</v>
      </c>
      <c r="P1156" t="str">
        <f t="shared" si="37"/>
        <v>Hospital Provincial de Tete</v>
      </c>
      <c r="Q1156" t="s">
        <v>24</v>
      </c>
      <c r="R1156">
        <v>5</v>
      </c>
    </row>
    <row r="1157" spans="1:18" x14ac:dyDescent="0.45">
      <c r="A1157" t="s">
        <v>1242</v>
      </c>
      <c r="B1157" s="3">
        <v>45378</v>
      </c>
      <c r="C1157">
        <v>28</v>
      </c>
      <c r="D1157" t="s">
        <v>20</v>
      </c>
      <c r="E1157">
        <v>68.5</v>
      </c>
      <c r="F1157">
        <v>164</v>
      </c>
      <c r="G1157" s="4">
        <f t="shared" si="36"/>
        <v>25.46847114812612</v>
      </c>
      <c r="H1157" t="s">
        <v>46</v>
      </c>
      <c r="I1157" t="s">
        <v>47</v>
      </c>
      <c r="J1157">
        <v>120</v>
      </c>
      <c r="K1157">
        <v>88</v>
      </c>
      <c r="L1157">
        <v>100</v>
      </c>
      <c r="M1157">
        <v>6</v>
      </c>
      <c r="N1157" s="5">
        <v>11958.77</v>
      </c>
      <c r="O1157" t="s">
        <v>52</v>
      </c>
      <c r="P1157" t="str">
        <f t="shared" si="37"/>
        <v>Hospital Provincial de Chimoio</v>
      </c>
      <c r="Q1157" t="s">
        <v>24</v>
      </c>
      <c r="R1157">
        <v>5</v>
      </c>
    </row>
    <row r="1158" spans="1:18" x14ac:dyDescent="0.45">
      <c r="A1158" t="s">
        <v>1243</v>
      </c>
      <c r="B1158" s="3">
        <v>45077</v>
      </c>
      <c r="C1158">
        <v>25</v>
      </c>
      <c r="D1158" t="s">
        <v>20</v>
      </c>
      <c r="E1158">
        <v>65.5</v>
      </c>
      <c r="F1158">
        <v>155.9</v>
      </c>
      <c r="G1158" s="4">
        <f t="shared" si="36"/>
        <v>26.949398082108022</v>
      </c>
      <c r="H1158" t="s">
        <v>41</v>
      </c>
      <c r="I1158" t="s">
        <v>217</v>
      </c>
      <c r="J1158">
        <v>104</v>
      </c>
      <c r="K1158">
        <v>78</v>
      </c>
      <c r="L1158">
        <v>113</v>
      </c>
      <c r="M1158">
        <v>1</v>
      </c>
      <c r="N1158" s="5">
        <v>4145.04</v>
      </c>
      <c r="O1158" t="s">
        <v>31</v>
      </c>
      <c r="P1158" t="str">
        <f t="shared" si="37"/>
        <v>Hospital Provincial da Matola</v>
      </c>
      <c r="Q1158" t="s">
        <v>24</v>
      </c>
      <c r="R1158">
        <v>4</v>
      </c>
    </row>
    <row r="1159" spans="1:18" x14ac:dyDescent="0.45">
      <c r="A1159" t="s">
        <v>1244</v>
      </c>
      <c r="B1159" s="3">
        <v>45352</v>
      </c>
      <c r="C1159">
        <v>66</v>
      </c>
      <c r="D1159" t="s">
        <v>20</v>
      </c>
      <c r="E1159">
        <v>78.7</v>
      </c>
      <c r="F1159">
        <v>150.80000000000001</v>
      </c>
      <c r="G1159" s="4">
        <f t="shared" si="36"/>
        <v>34.607645167418333</v>
      </c>
      <c r="H1159" t="s">
        <v>46</v>
      </c>
      <c r="I1159" t="s">
        <v>66</v>
      </c>
      <c r="J1159">
        <v>107</v>
      </c>
      <c r="K1159">
        <v>57</v>
      </c>
      <c r="L1159">
        <v>95</v>
      </c>
      <c r="M1159">
        <v>6</v>
      </c>
      <c r="N1159" s="5">
        <v>20723.57</v>
      </c>
      <c r="O1159" t="s">
        <v>30</v>
      </c>
      <c r="P1159" t="str">
        <f t="shared" si="37"/>
        <v>Hospital Provincial de Inhambane</v>
      </c>
      <c r="Q1159" t="s">
        <v>24</v>
      </c>
      <c r="R1159">
        <v>4</v>
      </c>
    </row>
    <row r="1160" spans="1:18" x14ac:dyDescent="0.45">
      <c r="A1160" t="s">
        <v>1245</v>
      </c>
      <c r="B1160" s="3">
        <v>45184</v>
      </c>
      <c r="C1160">
        <v>10</v>
      </c>
      <c r="D1160" t="s">
        <v>27</v>
      </c>
      <c r="E1160">
        <v>24.2</v>
      </c>
      <c r="F1160">
        <v>90.2</v>
      </c>
      <c r="G1160" s="4">
        <f t="shared" si="36"/>
        <v>29.744199881023199</v>
      </c>
      <c r="H1160" t="s">
        <v>28</v>
      </c>
      <c r="I1160" t="s">
        <v>29</v>
      </c>
      <c r="J1160">
        <v>112</v>
      </c>
      <c r="K1160">
        <v>74</v>
      </c>
      <c r="L1160">
        <v>76</v>
      </c>
      <c r="M1160">
        <v>1</v>
      </c>
      <c r="N1160" s="5">
        <v>3052.13</v>
      </c>
      <c r="O1160" t="s">
        <v>30</v>
      </c>
      <c r="P1160" t="str">
        <f t="shared" si="37"/>
        <v>Hospital Provincial de Inhambane</v>
      </c>
      <c r="Q1160" t="s">
        <v>24</v>
      </c>
      <c r="R1160">
        <v>3</v>
      </c>
    </row>
    <row r="1161" spans="1:18" x14ac:dyDescent="0.45">
      <c r="A1161" t="s">
        <v>1246</v>
      </c>
      <c r="B1161" s="3">
        <v>45311</v>
      </c>
      <c r="C1161">
        <v>46</v>
      </c>
      <c r="D1161" t="s">
        <v>20</v>
      </c>
      <c r="E1161">
        <v>55.4</v>
      </c>
      <c r="F1161">
        <v>160.19999999999999</v>
      </c>
      <c r="G1161" s="4">
        <f t="shared" si="36"/>
        <v>21.586624709126081</v>
      </c>
      <c r="H1161" t="s">
        <v>91</v>
      </c>
      <c r="I1161" t="s">
        <v>116</v>
      </c>
      <c r="J1161">
        <v>126</v>
      </c>
      <c r="K1161">
        <v>74</v>
      </c>
      <c r="L1161">
        <v>128</v>
      </c>
      <c r="M1161">
        <v>5</v>
      </c>
      <c r="N1161" s="5">
        <v>6790.03</v>
      </c>
      <c r="O1161" t="s">
        <v>31</v>
      </c>
      <c r="P1161" t="str">
        <f t="shared" si="37"/>
        <v>Hospital Provincial da Matola</v>
      </c>
      <c r="Q1161" t="s">
        <v>76</v>
      </c>
      <c r="R1161">
        <v>3</v>
      </c>
    </row>
    <row r="1162" spans="1:18" x14ac:dyDescent="0.45">
      <c r="A1162" t="s">
        <v>1247</v>
      </c>
      <c r="B1162" s="3">
        <v>45380</v>
      </c>
      <c r="C1162">
        <v>28</v>
      </c>
      <c r="D1162" t="s">
        <v>20</v>
      </c>
      <c r="E1162">
        <v>63.1</v>
      </c>
      <c r="F1162">
        <v>151.19999999999999</v>
      </c>
      <c r="G1162" s="4">
        <f t="shared" si="36"/>
        <v>27.60106100053191</v>
      </c>
      <c r="H1162" t="s">
        <v>91</v>
      </c>
      <c r="I1162" t="s">
        <v>131</v>
      </c>
      <c r="J1162">
        <v>106</v>
      </c>
      <c r="K1162">
        <v>69</v>
      </c>
      <c r="L1162">
        <v>99</v>
      </c>
      <c r="M1162">
        <v>7</v>
      </c>
      <c r="N1162" s="5">
        <v>17953.3</v>
      </c>
      <c r="O1162" t="s">
        <v>52</v>
      </c>
      <c r="P1162" t="str">
        <f t="shared" si="37"/>
        <v>Hospital Provincial de Chimoio</v>
      </c>
      <c r="Q1162" t="s">
        <v>24</v>
      </c>
      <c r="R1162">
        <v>4</v>
      </c>
    </row>
    <row r="1163" spans="1:18" x14ac:dyDescent="0.45">
      <c r="A1163" t="s">
        <v>1248</v>
      </c>
      <c r="B1163" s="3">
        <v>45247</v>
      </c>
      <c r="C1163">
        <v>39</v>
      </c>
      <c r="D1163" t="s">
        <v>20</v>
      </c>
      <c r="E1163">
        <v>64.3</v>
      </c>
      <c r="F1163">
        <v>150.4</v>
      </c>
      <c r="G1163" s="4">
        <f t="shared" si="36"/>
        <v>28.425970461747397</v>
      </c>
      <c r="H1163" t="s">
        <v>46</v>
      </c>
      <c r="I1163" t="s">
        <v>66</v>
      </c>
      <c r="J1163">
        <v>125</v>
      </c>
      <c r="K1163">
        <v>74</v>
      </c>
      <c r="L1163">
        <v>81</v>
      </c>
      <c r="M1163">
        <v>11</v>
      </c>
      <c r="N1163" s="5">
        <v>26603.89</v>
      </c>
      <c r="O1163" t="s">
        <v>31</v>
      </c>
      <c r="P1163" t="str">
        <f t="shared" si="37"/>
        <v>Hospital Provincial da Matola</v>
      </c>
      <c r="Q1163" t="s">
        <v>24</v>
      </c>
      <c r="R1163">
        <v>5</v>
      </c>
    </row>
    <row r="1164" spans="1:18" x14ac:dyDescent="0.45">
      <c r="A1164" t="s">
        <v>1249</v>
      </c>
      <c r="B1164" s="3">
        <v>45412</v>
      </c>
      <c r="C1164">
        <v>29</v>
      </c>
      <c r="D1164" t="s">
        <v>27</v>
      </c>
      <c r="E1164">
        <v>55.8</v>
      </c>
      <c r="F1164">
        <v>172.9</v>
      </c>
      <c r="G1164" s="4">
        <f t="shared" si="36"/>
        <v>18.665697031652403</v>
      </c>
      <c r="H1164" t="s">
        <v>46</v>
      </c>
      <c r="I1164" t="s">
        <v>94</v>
      </c>
      <c r="J1164">
        <v>116</v>
      </c>
      <c r="K1164">
        <v>72</v>
      </c>
      <c r="L1164">
        <v>70</v>
      </c>
      <c r="M1164">
        <v>1</v>
      </c>
      <c r="N1164" s="5">
        <v>2976.66</v>
      </c>
      <c r="O1164" t="s">
        <v>30</v>
      </c>
      <c r="P1164" t="str">
        <f t="shared" si="37"/>
        <v>Hospital Provincial de Inhambane</v>
      </c>
      <c r="Q1164" t="s">
        <v>24</v>
      </c>
      <c r="R1164">
        <v>3</v>
      </c>
    </row>
    <row r="1165" spans="1:18" x14ac:dyDescent="0.45">
      <c r="A1165" t="s">
        <v>1250</v>
      </c>
      <c r="B1165" s="3">
        <v>45533</v>
      </c>
      <c r="C1165">
        <v>50</v>
      </c>
      <c r="D1165" t="s">
        <v>27</v>
      </c>
      <c r="E1165">
        <v>50.3</v>
      </c>
      <c r="F1165">
        <v>182.9</v>
      </c>
      <c r="G1165" s="4">
        <f t="shared" si="36"/>
        <v>15.036285875965289</v>
      </c>
      <c r="H1165" t="s">
        <v>21</v>
      </c>
      <c r="I1165" t="s">
        <v>123</v>
      </c>
      <c r="J1165">
        <v>120</v>
      </c>
      <c r="K1165">
        <v>70</v>
      </c>
      <c r="L1165">
        <v>100</v>
      </c>
      <c r="M1165">
        <v>5</v>
      </c>
      <c r="N1165" s="5">
        <v>14409.9</v>
      </c>
      <c r="O1165" t="s">
        <v>43</v>
      </c>
      <c r="P1165" t="str">
        <f t="shared" si="37"/>
        <v>Hospital Central da Beira</v>
      </c>
      <c r="Q1165" t="s">
        <v>24</v>
      </c>
      <c r="R1165">
        <v>5</v>
      </c>
    </row>
    <row r="1166" spans="1:18" x14ac:dyDescent="0.45">
      <c r="A1166" t="s">
        <v>1251</v>
      </c>
      <c r="B1166" s="3">
        <v>45084</v>
      </c>
      <c r="C1166">
        <v>9</v>
      </c>
      <c r="D1166" t="s">
        <v>27</v>
      </c>
      <c r="E1166">
        <v>33.4</v>
      </c>
      <c r="F1166">
        <v>122.1</v>
      </c>
      <c r="G1166" s="4">
        <f t="shared" si="36"/>
        <v>22.403462206902013</v>
      </c>
      <c r="H1166" t="s">
        <v>28</v>
      </c>
      <c r="I1166" t="s">
        <v>75</v>
      </c>
      <c r="J1166">
        <v>106</v>
      </c>
      <c r="K1166">
        <v>63</v>
      </c>
      <c r="L1166">
        <v>98</v>
      </c>
      <c r="M1166">
        <v>2</v>
      </c>
      <c r="N1166" s="5">
        <v>7081.81</v>
      </c>
      <c r="O1166" t="s">
        <v>23</v>
      </c>
      <c r="P1166" t="str">
        <f t="shared" si="37"/>
        <v>Hospital Central de Maputo</v>
      </c>
      <c r="Q1166" t="s">
        <v>24</v>
      </c>
      <c r="R1166">
        <v>3</v>
      </c>
    </row>
    <row r="1167" spans="1:18" x14ac:dyDescent="0.45">
      <c r="A1167" t="s">
        <v>1252</v>
      </c>
      <c r="B1167" s="3">
        <v>45597</v>
      </c>
      <c r="C1167">
        <v>18</v>
      </c>
      <c r="D1167" t="s">
        <v>20</v>
      </c>
      <c r="E1167">
        <v>62</v>
      </c>
      <c r="F1167">
        <v>155.1</v>
      </c>
      <c r="G1167" s="4">
        <f t="shared" si="36"/>
        <v>25.773185162460443</v>
      </c>
      <c r="H1167" t="s">
        <v>21</v>
      </c>
      <c r="I1167" t="s">
        <v>70</v>
      </c>
      <c r="J1167">
        <v>100</v>
      </c>
      <c r="K1167">
        <v>63</v>
      </c>
      <c r="L1167">
        <v>90</v>
      </c>
      <c r="M1167">
        <v>7</v>
      </c>
      <c r="N1167" s="5">
        <v>10988.61</v>
      </c>
      <c r="O1167" t="s">
        <v>63</v>
      </c>
      <c r="P1167" t="str">
        <f t="shared" si="37"/>
        <v>Hospital Central de Nampula</v>
      </c>
      <c r="Q1167" t="s">
        <v>24</v>
      </c>
      <c r="R1167">
        <v>3</v>
      </c>
    </row>
    <row r="1168" spans="1:18" x14ac:dyDescent="0.45">
      <c r="A1168" t="s">
        <v>1253</v>
      </c>
      <c r="B1168" s="3">
        <v>45605</v>
      </c>
      <c r="C1168">
        <v>18</v>
      </c>
      <c r="D1168" t="s">
        <v>20</v>
      </c>
      <c r="E1168">
        <v>30</v>
      </c>
      <c r="F1168">
        <v>158.69999999999999</v>
      </c>
      <c r="G1168" s="4">
        <f t="shared" si="36"/>
        <v>11.911525949854859</v>
      </c>
      <c r="H1168" t="s">
        <v>46</v>
      </c>
      <c r="I1168" t="s">
        <v>66</v>
      </c>
      <c r="J1168">
        <v>98</v>
      </c>
      <c r="K1168">
        <v>60</v>
      </c>
      <c r="L1168">
        <v>90</v>
      </c>
      <c r="M1168">
        <v>5</v>
      </c>
      <c r="N1168" s="5">
        <v>7374.78</v>
      </c>
      <c r="O1168" t="s">
        <v>52</v>
      </c>
      <c r="P1168" t="str">
        <f t="shared" si="37"/>
        <v>Hospital Provincial de Chimoio</v>
      </c>
      <c r="Q1168" t="s">
        <v>24</v>
      </c>
      <c r="R1168">
        <v>4</v>
      </c>
    </row>
    <row r="1169" spans="1:18" x14ac:dyDescent="0.45">
      <c r="A1169" t="s">
        <v>1254</v>
      </c>
      <c r="B1169" s="3">
        <v>45239</v>
      </c>
      <c r="C1169">
        <v>25</v>
      </c>
      <c r="D1169" t="s">
        <v>27</v>
      </c>
      <c r="E1169">
        <v>76.099999999999994</v>
      </c>
      <c r="F1169">
        <v>160.6</v>
      </c>
      <c r="G1169" s="4">
        <f t="shared" si="36"/>
        <v>29.504861129419723</v>
      </c>
      <c r="H1169" t="s">
        <v>99</v>
      </c>
      <c r="I1169" t="s">
        <v>100</v>
      </c>
      <c r="J1169">
        <v>134</v>
      </c>
      <c r="K1169">
        <v>89</v>
      </c>
      <c r="L1169">
        <v>77</v>
      </c>
      <c r="M1169">
        <v>4</v>
      </c>
      <c r="N1169" s="5">
        <v>11198.98</v>
      </c>
      <c r="O1169" t="s">
        <v>52</v>
      </c>
      <c r="P1169" t="str">
        <f t="shared" si="37"/>
        <v>Hospital Provincial de Chimoio</v>
      </c>
      <c r="Q1169" t="s">
        <v>24</v>
      </c>
      <c r="R1169">
        <v>5</v>
      </c>
    </row>
    <row r="1170" spans="1:18" x14ac:dyDescent="0.45">
      <c r="A1170" t="s">
        <v>1255</v>
      </c>
      <c r="B1170" s="3">
        <v>45580</v>
      </c>
      <c r="C1170">
        <v>12</v>
      </c>
      <c r="D1170" t="s">
        <v>27</v>
      </c>
      <c r="E1170">
        <v>58</v>
      </c>
      <c r="F1170">
        <v>163.69999999999999</v>
      </c>
      <c r="G1170" s="4">
        <f t="shared" si="36"/>
        <v>21.643656598759076</v>
      </c>
      <c r="H1170" t="s">
        <v>28</v>
      </c>
      <c r="I1170" t="s">
        <v>50</v>
      </c>
      <c r="J1170">
        <v>98</v>
      </c>
      <c r="K1170">
        <v>62</v>
      </c>
      <c r="L1170">
        <v>83</v>
      </c>
      <c r="M1170">
        <v>3</v>
      </c>
      <c r="N1170" s="5">
        <v>9584.5</v>
      </c>
      <c r="O1170" t="s">
        <v>23</v>
      </c>
      <c r="P1170" t="str">
        <f t="shared" si="37"/>
        <v>Hospital Central de Maputo</v>
      </c>
      <c r="Q1170" t="s">
        <v>24</v>
      </c>
      <c r="R1170">
        <v>3</v>
      </c>
    </row>
    <row r="1171" spans="1:18" x14ac:dyDescent="0.45">
      <c r="A1171" t="s">
        <v>1256</v>
      </c>
      <c r="B1171" s="3">
        <v>45239</v>
      </c>
      <c r="C1171">
        <v>48</v>
      </c>
      <c r="D1171" t="s">
        <v>20</v>
      </c>
      <c r="E1171">
        <v>54.5</v>
      </c>
      <c r="F1171">
        <v>154.5</v>
      </c>
      <c r="G1171" s="4">
        <f t="shared" si="36"/>
        <v>22.831767576795382</v>
      </c>
      <c r="H1171" t="s">
        <v>21</v>
      </c>
      <c r="I1171" t="s">
        <v>70</v>
      </c>
      <c r="J1171">
        <v>120</v>
      </c>
      <c r="K1171">
        <v>71</v>
      </c>
      <c r="L1171">
        <v>96</v>
      </c>
      <c r="M1171">
        <v>9</v>
      </c>
      <c r="N1171" s="5">
        <v>23136.69</v>
      </c>
      <c r="O1171" t="s">
        <v>63</v>
      </c>
      <c r="P1171" t="str">
        <f t="shared" si="37"/>
        <v>Hospital Central de Nampula</v>
      </c>
      <c r="Q1171" t="s">
        <v>24</v>
      </c>
      <c r="R1171">
        <v>5</v>
      </c>
    </row>
    <row r="1172" spans="1:18" x14ac:dyDescent="0.45">
      <c r="A1172" t="s">
        <v>1257</v>
      </c>
      <c r="B1172" s="3">
        <v>45384</v>
      </c>
      <c r="C1172">
        <v>12</v>
      </c>
      <c r="D1172" t="s">
        <v>27</v>
      </c>
      <c r="E1172">
        <v>55.5</v>
      </c>
      <c r="F1172">
        <v>152.69999999999999</v>
      </c>
      <c r="G1172" s="4">
        <f t="shared" si="36"/>
        <v>23.802079915804971</v>
      </c>
      <c r="H1172" t="s">
        <v>99</v>
      </c>
      <c r="I1172" t="s">
        <v>100</v>
      </c>
      <c r="J1172">
        <v>92</v>
      </c>
      <c r="K1172">
        <v>55</v>
      </c>
      <c r="L1172">
        <v>65</v>
      </c>
      <c r="M1172">
        <v>2</v>
      </c>
      <c r="N1172" s="5">
        <v>5595.75</v>
      </c>
      <c r="O1172" t="s">
        <v>23</v>
      </c>
      <c r="P1172" t="str">
        <f t="shared" si="37"/>
        <v>Hospital Central de Maputo</v>
      </c>
      <c r="Q1172" t="s">
        <v>24</v>
      </c>
      <c r="R1172">
        <v>4</v>
      </c>
    </row>
    <row r="1173" spans="1:18" x14ac:dyDescent="0.45">
      <c r="A1173" t="s">
        <v>1258</v>
      </c>
      <c r="B1173" s="3">
        <v>45346</v>
      </c>
      <c r="C1173">
        <v>33</v>
      </c>
      <c r="D1173" t="s">
        <v>20</v>
      </c>
      <c r="E1173">
        <v>59.9</v>
      </c>
      <c r="F1173">
        <v>162.1</v>
      </c>
      <c r="G1173" s="4">
        <f t="shared" si="36"/>
        <v>22.796112558755169</v>
      </c>
      <c r="H1173" t="s">
        <v>46</v>
      </c>
      <c r="I1173" t="s">
        <v>94</v>
      </c>
      <c r="J1173">
        <v>108</v>
      </c>
      <c r="K1173">
        <v>70</v>
      </c>
      <c r="L1173">
        <v>97</v>
      </c>
      <c r="M1173">
        <v>3</v>
      </c>
      <c r="N1173" s="5">
        <v>4899.7299999999996</v>
      </c>
      <c r="O1173" t="s">
        <v>30</v>
      </c>
      <c r="P1173" t="str">
        <f t="shared" si="37"/>
        <v>Hospital Provincial de Inhambane</v>
      </c>
      <c r="Q1173" t="s">
        <v>24</v>
      </c>
      <c r="R1173">
        <v>5</v>
      </c>
    </row>
    <row r="1174" spans="1:18" x14ac:dyDescent="0.45">
      <c r="A1174" t="s">
        <v>1259</v>
      </c>
      <c r="B1174" s="3">
        <v>45203</v>
      </c>
      <c r="C1174">
        <v>33</v>
      </c>
      <c r="D1174" t="s">
        <v>27</v>
      </c>
      <c r="E1174">
        <v>63.8</v>
      </c>
      <c r="F1174">
        <v>162.5</v>
      </c>
      <c r="G1174" s="4">
        <f t="shared" si="36"/>
        <v>24.160946745562129</v>
      </c>
      <c r="H1174" t="s">
        <v>99</v>
      </c>
      <c r="I1174" t="s">
        <v>103</v>
      </c>
      <c r="J1174">
        <v>101</v>
      </c>
      <c r="K1174">
        <v>69</v>
      </c>
      <c r="L1174">
        <v>120</v>
      </c>
      <c r="M1174">
        <v>3</v>
      </c>
      <c r="N1174" s="5">
        <v>9604.02</v>
      </c>
      <c r="O1174" t="s">
        <v>57</v>
      </c>
      <c r="P1174" t="str">
        <f t="shared" si="37"/>
        <v>Hospital Provincial de Tete</v>
      </c>
      <c r="Q1174" t="s">
        <v>24</v>
      </c>
      <c r="R1174">
        <v>4</v>
      </c>
    </row>
    <row r="1175" spans="1:18" x14ac:dyDescent="0.45">
      <c r="A1175" t="s">
        <v>1260</v>
      </c>
      <c r="B1175" s="3">
        <v>45641</v>
      </c>
      <c r="C1175">
        <v>14</v>
      </c>
      <c r="D1175" t="s">
        <v>27</v>
      </c>
      <c r="E1175">
        <v>85.7</v>
      </c>
      <c r="F1175">
        <v>155.1</v>
      </c>
      <c r="G1175" s="4">
        <f t="shared" si="36"/>
        <v>35.62519303907839</v>
      </c>
      <c r="H1175" t="s">
        <v>28</v>
      </c>
      <c r="I1175" t="s">
        <v>73</v>
      </c>
      <c r="J1175">
        <v>95</v>
      </c>
      <c r="K1175">
        <v>62</v>
      </c>
      <c r="L1175">
        <v>107</v>
      </c>
      <c r="M1175">
        <v>8</v>
      </c>
      <c r="N1175" s="5">
        <v>25584.03</v>
      </c>
      <c r="O1175" t="s">
        <v>63</v>
      </c>
      <c r="P1175" t="str">
        <f t="shared" si="37"/>
        <v>Hospital Central de Nampula</v>
      </c>
      <c r="Q1175" t="s">
        <v>24</v>
      </c>
      <c r="R1175">
        <v>5</v>
      </c>
    </row>
    <row r="1176" spans="1:18" x14ac:dyDescent="0.45">
      <c r="A1176" t="s">
        <v>1261</v>
      </c>
      <c r="B1176" s="3">
        <v>45135</v>
      </c>
      <c r="C1176">
        <v>15</v>
      </c>
      <c r="D1176" t="s">
        <v>27</v>
      </c>
      <c r="E1176">
        <v>47.6</v>
      </c>
      <c r="F1176">
        <v>171.2</v>
      </c>
      <c r="G1176" s="4">
        <f t="shared" si="36"/>
        <v>16.24050135383003</v>
      </c>
      <c r="H1176" t="s">
        <v>99</v>
      </c>
      <c r="I1176" t="s">
        <v>151</v>
      </c>
      <c r="J1176">
        <v>87</v>
      </c>
      <c r="K1176">
        <v>66</v>
      </c>
      <c r="L1176">
        <v>78</v>
      </c>
      <c r="M1176">
        <v>5</v>
      </c>
      <c r="N1176" s="5">
        <v>14480.38</v>
      </c>
      <c r="O1176" t="s">
        <v>43</v>
      </c>
      <c r="P1176" t="str">
        <f t="shared" si="37"/>
        <v>Hospital Central da Beira</v>
      </c>
      <c r="Q1176" t="s">
        <v>24</v>
      </c>
      <c r="R1176">
        <v>4</v>
      </c>
    </row>
    <row r="1177" spans="1:18" x14ac:dyDescent="0.45">
      <c r="A1177" t="s">
        <v>1262</v>
      </c>
      <c r="B1177" s="3">
        <v>45038</v>
      </c>
      <c r="C1177">
        <v>47</v>
      </c>
      <c r="D1177" t="s">
        <v>20</v>
      </c>
      <c r="E1177">
        <v>66.599999999999994</v>
      </c>
      <c r="F1177">
        <v>175.4</v>
      </c>
      <c r="G1177" s="4">
        <f t="shared" si="36"/>
        <v>21.647864012408842</v>
      </c>
      <c r="H1177" t="s">
        <v>34</v>
      </c>
      <c r="I1177" t="s">
        <v>138</v>
      </c>
      <c r="J1177">
        <v>126</v>
      </c>
      <c r="K1177">
        <v>75</v>
      </c>
      <c r="L1177">
        <v>85</v>
      </c>
      <c r="M1177">
        <v>3</v>
      </c>
      <c r="N1177" s="5">
        <v>9815.43</v>
      </c>
      <c r="O1177" t="s">
        <v>30</v>
      </c>
      <c r="P1177" t="str">
        <f t="shared" si="37"/>
        <v>Hospital Provincial de Inhambane</v>
      </c>
      <c r="Q1177" t="s">
        <v>24</v>
      </c>
      <c r="R1177">
        <v>5</v>
      </c>
    </row>
    <row r="1178" spans="1:18" x14ac:dyDescent="0.45">
      <c r="A1178" t="s">
        <v>1263</v>
      </c>
      <c r="B1178" s="3">
        <v>44991</v>
      </c>
      <c r="C1178">
        <v>63</v>
      </c>
      <c r="D1178" t="s">
        <v>27</v>
      </c>
      <c r="E1178">
        <v>42.8</v>
      </c>
      <c r="F1178">
        <v>157.4</v>
      </c>
      <c r="G1178" s="4">
        <f t="shared" si="36"/>
        <v>17.275646666203826</v>
      </c>
      <c r="H1178" t="s">
        <v>91</v>
      </c>
      <c r="I1178" t="s">
        <v>92</v>
      </c>
      <c r="J1178">
        <v>139</v>
      </c>
      <c r="K1178">
        <v>83</v>
      </c>
      <c r="L1178">
        <v>92</v>
      </c>
      <c r="M1178">
        <v>1</v>
      </c>
      <c r="N1178" s="5">
        <v>5480.08</v>
      </c>
      <c r="O1178" t="s">
        <v>63</v>
      </c>
      <c r="P1178" t="str">
        <f t="shared" si="37"/>
        <v>Hospital Central de Nampula</v>
      </c>
      <c r="Q1178" t="s">
        <v>24</v>
      </c>
      <c r="R1178">
        <v>4</v>
      </c>
    </row>
    <row r="1179" spans="1:18" x14ac:dyDescent="0.45">
      <c r="A1179" t="s">
        <v>1264</v>
      </c>
      <c r="B1179" s="3">
        <v>45478</v>
      </c>
      <c r="C1179">
        <v>29</v>
      </c>
      <c r="D1179" t="s">
        <v>27</v>
      </c>
      <c r="E1179">
        <v>54.3</v>
      </c>
      <c r="F1179">
        <v>156.69999999999999</v>
      </c>
      <c r="G1179" s="4">
        <f t="shared" si="36"/>
        <v>22.113721543855419</v>
      </c>
      <c r="H1179" t="s">
        <v>99</v>
      </c>
      <c r="I1179" t="s">
        <v>105</v>
      </c>
      <c r="J1179">
        <v>102</v>
      </c>
      <c r="K1179">
        <v>57</v>
      </c>
      <c r="L1179">
        <v>95</v>
      </c>
      <c r="M1179">
        <v>2</v>
      </c>
      <c r="N1179" s="5">
        <v>5057.6499999999996</v>
      </c>
      <c r="O1179" t="s">
        <v>36</v>
      </c>
      <c r="P1179" t="str">
        <f t="shared" si="37"/>
        <v>Hospital Provincial de Lichinga</v>
      </c>
      <c r="Q1179" t="s">
        <v>24</v>
      </c>
      <c r="R1179">
        <v>5</v>
      </c>
    </row>
    <row r="1180" spans="1:18" x14ac:dyDescent="0.45">
      <c r="A1180" t="s">
        <v>1265</v>
      </c>
      <c r="B1180" s="3">
        <v>45585</v>
      </c>
      <c r="C1180">
        <v>30</v>
      </c>
      <c r="D1180" t="s">
        <v>20</v>
      </c>
      <c r="E1180">
        <v>63.8</v>
      </c>
      <c r="F1180">
        <v>175.6</v>
      </c>
      <c r="G1180" s="4">
        <f t="shared" si="36"/>
        <v>20.690531908821558</v>
      </c>
      <c r="H1180" t="s">
        <v>55</v>
      </c>
      <c r="I1180" t="s">
        <v>197</v>
      </c>
      <c r="J1180">
        <v>109</v>
      </c>
      <c r="K1180">
        <v>65</v>
      </c>
      <c r="L1180">
        <v>65</v>
      </c>
      <c r="M1180">
        <v>4</v>
      </c>
      <c r="N1180" s="5">
        <v>11324.59</v>
      </c>
      <c r="O1180" t="s">
        <v>63</v>
      </c>
      <c r="P1180" t="str">
        <f t="shared" si="37"/>
        <v>Hospital Central de Nampula</v>
      </c>
      <c r="Q1180" t="s">
        <v>24</v>
      </c>
      <c r="R1180">
        <v>5</v>
      </c>
    </row>
    <row r="1181" spans="1:18" x14ac:dyDescent="0.45">
      <c r="A1181" t="s">
        <v>1266</v>
      </c>
      <c r="B1181" s="3">
        <v>45553</v>
      </c>
      <c r="C1181">
        <v>50</v>
      </c>
      <c r="D1181" t="s">
        <v>27</v>
      </c>
      <c r="E1181">
        <v>58.9</v>
      </c>
      <c r="F1181">
        <v>167.4</v>
      </c>
      <c r="G1181" s="4">
        <f t="shared" si="36"/>
        <v>21.018629142882425</v>
      </c>
      <c r="H1181" t="s">
        <v>55</v>
      </c>
      <c r="I1181" t="s">
        <v>197</v>
      </c>
      <c r="J1181">
        <v>133</v>
      </c>
      <c r="K1181">
        <v>68</v>
      </c>
      <c r="L1181">
        <v>73</v>
      </c>
      <c r="M1181">
        <v>1</v>
      </c>
      <c r="N1181" s="5">
        <v>4359.8599999999997</v>
      </c>
      <c r="O1181" t="s">
        <v>43</v>
      </c>
      <c r="P1181" t="str">
        <f t="shared" si="37"/>
        <v>Hospital Central da Beira</v>
      </c>
      <c r="Q1181" t="s">
        <v>24</v>
      </c>
      <c r="R1181">
        <v>5</v>
      </c>
    </row>
    <row r="1182" spans="1:18" x14ac:dyDescent="0.45">
      <c r="A1182" t="s">
        <v>1267</v>
      </c>
      <c r="B1182" s="3">
        <v>45232</v>
      </c>
      <c r="C1182">
        <v>23</v>
      </c>
      <c r="D1182" t="s">
        <v>20</v>
      </c>
      <c r="E1182">
        <v>74.400000000000006</v>
      </c>
      <c r="F1182">
        <v>156.9</v>
      </c>
      <c r="G1182" s="4">
        <f t="shared" si="36"/>
        <v>30.222267718109116</v>
      </c>
      <c r="H1182" t="s">
        <v>55</v>
      </c>
      <c r="I1182" t="s">
        <v>56</v>
      </c>
      <c r="J1182">
        <v>122</v>
      </c>
      <c r="K1182">
        <v>59</v>
      </c>
      <c r="L1182">
        <v>113</v>
      </c>
      <c r="M1182">
        <v>1</v>
      </c>
      <c r="N1182" s="5">
        <v>6537.97</v>
      </c>
      <c r="O1182" t="s">
        <v>43</v>
      </c>
      <c r="P1182" t="str">
        <f t="shared" si="37"/>
        <v>Hospital Central da Beira</v>
      </c>
      <c r="Q1182" t="s">
        <v>24</v>
      </c>
      <c r="R1182">
        <v>1</v>
      </c>
    </row>
    <row r="1183" spans="1:18" x14ac:dyDescent="0.45">
      <c r="A1183" t="s">
        <v>1268</v>
      </c>
      <c r="B1183" s="3">
        <v>45536</v>
      </c>
      <c r="C1183">
        <v>32</v>
      </c>
      <c r="D1183" t="s">
        <v>27</v>
      </c>
      <c r="E1183">
        <v>54.8</v>
      </c>
      <c r="F1183">
        <v>156.80000000000001</v>
      </c>
      <c r="G1183" s="4">
        <f t="shared" si="36"/>
        <v>22.288890045814238</v>
      </c>
      <c r="H1183" t="s">
        <v>91</v>
      </c>
      <c r="I1183" t="s">
        <v>116</v>
      </c>
      <c r="J1183">
        <v>91</v>
      </c>
      <c r="K1183">
        <v>55</v>
      </c>
      <c r="L1183">
        <v>103</v>
      </c>
      <c r="M1183">
        <v>12</v>
      </c>
      <c r="N1183" s="5">
        <v>18627.349999999999</v>
      </c>
      <c r="O1183" t="s">
        <v>52</v>
      </c>
      <c r="P1183" t="str">
        <f t="shared" si="37"/>
        <v>Hospital Provincial de Chimoio</v>
      </c>
      <c r="Q1183" t="s">
        <v>24</v>
      </c>
      <c r="R1183">
        <v>4</v>
      </c>
    </row>
    <row r="1184" spans="1:18" x14ac:dyDescent="0.45">
      <c r="A1184" t="s">
        <v>1269</v>
      </c>
      <c r="B1184" s="3">
        <v>45175</v>
      </c>
      <c r="C1184">
        <v>15</v>
      </c>
      <c r="D1184" t="s">
        <v>27</v>
      </c>
      <c r="E1184">
        <v>51.3</v>
      </c>
      <c r="F1184">
        <v>161.5</v>
      </c>
      <c r="G1184" s="4">
        <f t="shared" si="36"/>
        <v>19.668548533964668</v>
      </c>
      <c r="H1184" t="s">
        <v>99</v>
      </c>
      <c r="I1184" t="s">
        <v>103</v>
      </c>
      <c r="J1184">
        <v>115</v>
      </c>
      <c r="K1184">
        <v>72</v>
      </c>
      <c r="L1184">
        <v>79</v>
      </c>
      <c r="M1184">
        <v>1</v>
      </c>
      <c r="N1184" s="5">
        <v>4940.22</v>
      </c>
      <c r="O1184" t="s">
        <v>38</v>
      </c>
      <c r="P1184" t="str">
        <f t="shared" si="37"/>
        <v>Hospital Provincial de Xai-Xai</v>
      </c>
      <c r="Q1184" t="s">
        <v>24</v>
      </c>
      <c r="R1184">
        <v>5</v>
      </c>
    </row>
    <row r="1185" spans="1:18" x14ac:dyDescent="0.45">
      <c r="A1185" t="s">
        <v>1270</v>
      </c>
      <c r="B1185" s="3">
        <v>45097</v>
      </c>
      <c r="C1185">
        <v>24</v>
      </c>
      <c r="D1185" t="s">
        <v>27</v>
      </c>
      <c r="E1185">
        <v>67.400000000000006</v>
      </c>
      <c r="F1185">
        <v>167.9</v>
      </c>
      <c r="G1185" s="4">
        <f t="shared" si="36"/>
        <v>23.908839921093733</v>
      </c>
      <c r="H1185" t="s">
        <v>99</v>
      </c>
      <c r="I1185" t="s">
        <v>105</v>
      </c>
      <c r="J1185">
        <v>115</v>
      </c>
      <c r="K1185">
        <v>65</v>
      </c>
      <c r="L1185">
        <v>93</v>
      </c>
      <c r="M1185">
        <v>1</v>
      </c>
      <c r="N1185" s="5">
        <v>3073.95</v>
      </c>
      <c r="O1185" t="s">
        <v>63</v>
      </c>
      <c r="P1185" t="str">
        <f t="shared" si="37"/>
        <v>Hospital Central de Nampula</v>
      </c>
      <c r="Q1185" t="s">
        <v>24</v>
      </c>
      <c r="R1185">
        <v>4</v>
      </c>
    </row>
    <row r="1186" spans="1:18" x14ac:dyDescent="0.45">
      <c r="A1186" t="s">
        <v>1271</v>
      </c>
      <c r="B1186" s="3">
        <v>45185</v>
      </c>
      <c r="C1186">
        <v>38</v>
      </c>
      <c r="D1186" t="s">
        <v>27</v>
      </c>
      <c r="E1186">
        <v>79.3</v>
      </c>
      <c r="F1186">
        <v>162.69999999999999</v>
      </c>
      <c r="G1186" s="4">
        <f t="shared" si="36"/>
        <v>29.956983584857415</v>
      </c>
      <c r="H1186" t="s">
        <v>41</v>
      </c>
      <c r="I1186" t="s">
        <v>113</v>
      </c>
      <c r="J1186">
        <v>124</v>
      </c>
      <c r="K1186">
        <v>74</v>
      </c>
      <c r="L1186">
        <v>103</v>
      </c>
      <c r="M1186">
        <v>6</v>
      </c>
      <c r="N1186" s="5">
        <v>15523.15</v>
      </c>
      <c r="O1186" t="s">
        <v>51</v>
      </c>
      <c r="P1186" t="str">
        <f t="shared" si="37"/>
        <v>Hospital Central de Quelimane</v>
      </c>
      <c r="Q1186" t="s">
        <v>24</v>
      </c>
      <c r="R1186">
        <v>5</v>
      </c>
    </row>
    <row r="1187" spans="1:18" x14ac:dyDescent="0.45">
      <c r="A1187" t="s">
        <v>1272</v>
      </c>
      <c r="B1187" s="3">
        <v>45035</v>
      </c>
      <c r="C1187">
        <v>39</v>
      </c>
      <c r="D1187" t="s">
        <v>27</v>
      </c>
      <c r="E1187">
        <v>70.400000000000006</v>
      </c>
      <c r="F1187">
        <v>161.80000000000001</v>
      </c>
      <c r="G1187" s="4">
        <f t="shared" si="36"/>
        <v>26.891536958292143</v>
      </c>
      <c r="H1187" t="s">
        <v>91</v>
      </c>
      <c r="I1187" t="s">
        <v>131</v>
      </c>
      <c r="J1187">
        <v>89</v>
      </c>
      <c r="K1187">
        <v>59</v>
      </c>
      <c r="L1187">
        <v>93</v>
      </c>
      <c r="M1187">
        <v>4</v>
      </c>
      <c r="N1187" s="5">
        <v>13181.17</v>
      </c>
      <c r="O1187" t="s">
        <v>43</v>
      </c>
      <c r="P1187" t="str">
        <f t="shared" si="37"/>
        <v>Hospital Central da Beira</v>
      </c>
      <c r="Q1187" t="s">
        <v>24</v>
      </c>
      <c r="R1187">
        <v>5</v>
      </c>
    </row>
    <row r="1188" spans="1:18" x14ac:dyDescent="0.45">
      <c r="A1188" t="s">
        <v>1273</v>
      </c>
      <c r="B1188" s="3">
        <v>45537</v>
      </c>
      <c r="C1188">
        <v>82</v>
      </c>
      <c r="D1188" t="s">
        <v>27</v>
      </c>
      <c r="E1188">
        <v>59.9</v>
      </c>
      <c r="F1188">
        <v>165.6</v>
      </c>
      <c r="G1188" s="4">
        <f t="shared" si="36"/>
        <v>21.842691778104506</v>
      </c>
      <c r="H1188" t="s">
        <v>46</v>
      </c>
      <c r="I1188" t="s">
        <v>108</v>
      </c>
      <c r="J1188">
        <v>136</v>
      </c>
      <c r="K1188">
        <v>83</v>
      </c>
      <c r="L1188">
        <v>117</v>
      </c>
      <c r="M1188">
        <v>6</v>
      </c>
      <c r="N1188" s="5">
        <v>21568.12</v>
      </c>
      <c r="O1188" t="s">
        <v>63</v>
      </c>
      <c r="P1188" t="str">
        <f t="shared" si="37"/>
        <v>Hospital Central de Nampula</v>
      </c>
      <c r="Q1188" t="s">
        <v>24</v>
      </c>
      <c r="R1188">
        <v>4</v>
      </c>
    </row>
    <row r="1189" spans="1:18" x14ac:dyDescent="0.45">
      <c r="A1189" t="s">
        <v>1274</v>
      </c>
      <c r="B1189" s="3">
        <v>44980</v>
      </c>
      <c r="C1189">
        <v>59</v>
      </c>
      <c r="D1189" t="s">
        <v>27</v>
      </c>
      <c r="E1189">
        <v>76.900000000000006</v>
      </c>
      <c r="F1189">
        <v>156.1</v>
      </c>
      <c r="G1189" s="4">
        <f t="shared" si="36"/>
        <v>31.558803818738383</v>
      </c>
      <c r="H1189" t="s">
        <v>34</v>
      </c>
      <c r="I1189" t="s">
        <v>35</v>
      </c>
      <c r="J1189">
        <v>144</v>
      </c>
      <c r="K1189">
        <v>89</v>
      </c>
      <c r="L1189">
        <v>87</v>
      </c>
      <c r="M1189">
        <v>3</v>
      </c>
      <c r="N1189" s="5">
        <v>5862.23</v>
      </c>
      <c r="O1189" t="s">
        <v>51</v>
      </c>
      <c r="P1189" t="str">
        <f t="shared" si="37"/>
        <v>Hospital Central de Quelimane</v>
      </c>
      <c r="Q1189" t="s">
        <v>24</v>
      </c>
      <c r="R1189">
        <v>3</v>
      </c>
    </row>
    <row r="1190" spans="1:18" x14ac:dyDescent="0.45">
      <c r="A1190" t="s">
        <v>1275</v>
      </c>
      <c r="B1190" s="3">
        <v>45229</v>
      </c>
      <c r="C1190">
        <v>37</v>
      </c>
      <c r="D1190" t="s">
        <v>27</v>
      </c>
      <c r="E1190">
        <v>56.5</v>
      </c>
      <c r="F1190">
        <v>175.2</v>
      </c>
      <c r="G1190" s="4">
        <f t="shared" si="36"/>
        <v>18.406882675507187</v>
      </c>
      <c r="H1190" t="s">
        <v>34</v>
      </c>
      <c r="I1190" t="s">
        <v>128</v>
      </c>
      <c r="J1190">
        <v>120</v>
      </c>
      <c r="K1190">
        <v>70</v>
      </c>
      <c r="L1190">
        <v>105</v>
      </c>
      <c r="M1190">
        <v>9</v>
      </c>
      <c r="N1190" s="5">
        <v>19839.29</v>
      </c>
      <c r="O1190" t="s">
        <v>31</v>
      </c>
      <c r="P1190" t="str">
        <f t="shared" si="37"/>
        <v>Hospital Provincial da Matola</v>
      </c>
      <c r="Q1190" t="s">
        <v>202</v>
      </c>
      <c r="R1190">
        <v>4</v>
      </c>
    </row>
    <row r="1191" spans="1:18" x14ac:dyDescent="0.45">
      <c r="A1191" t="s">
        <v>1276</v>
      </c>
      <c r="B1191" s="3">
        <v>45056</v>
      </c>
      <c r="C1191">
        <v>25</v>
      </c>
      <c r="D1191" t="s">
        <v>20</v>
      </c>
      <c r="E1191">
        <v>82.2</v>
      </c>
      <c r="F1191">
        <v>173.1</v>
      </c>
      <c r="G1191" s="4">
        <f t="shared" si="36"/>
        <v>27.433276564472713</v>
      </c>
      <c r="H1191" t="s">
        <v>91</v>
      </c>
      <c r="I1191" t="s">
        <v>131</v>
      </c>
      <c r="J1191">
        <v>131</v>
      </c>
      <c r="K1191">
        <v>81</v>
      </c>
      <c r="L1191">
        <v>77</v>
      </c>
      <c r="M1191">
        <v>7</v>
      </c>
      <c r="N1191" s="5">
        <v>8935.17</v>
      </c>
      <c r="O1191" t="s">
        <v>31</v>
      </c>
      <c r="P1191" t="str">
        <f t="shared" si="37"/>
        <v>Hospital Provincial da Matola</v>
      </c>
      <c r="Q1191" t="s">
        <v>202</v>
      </c>
      <c r="R1191">
        <v>4</v>
      </c>
    </row>
    <row r="1192" spans="1:18" x14ac:dyDescent="0.45">
      <c r="A1192" t="s">
        <v>1277</v>
      </c>
      <c r="B1192" s="3">
        <v>45228</v>
      </c>
      <c r="C1192">
        <v>37</v>
      </c>
      <c r="D1192" t="s">
        <v>27</v>
      </c>
      <c r="E1192">
        <v>60.7</v>
      </c>
      <c r="F1192">
        <v>170.7</v>
      </c>
      <c r="G1192" s="4">
        <f t="shared" si="36"/>
        <v>20.831553042041648</v>
      </c>
      <c r="H1192" t="s">
        <v>46</v>
      </c>
      <c r="I1192" t="s">
        <v>66</v>
      </c>
      <c r="J1192">
        <v>124</v>
      </c>
      <c r="K1192">
        <v>78</v>
      </c>
      <c r="L1192">
        <v>72</v>
      </c>
      <c r="M1192">
        <v>1</v>
      </c>
      <c r="N1192" s="5">
        <v>3034.51</v>
      </c>
      <c r="O1192" t="s">
        <v>63</v>
      </c>
      <c r="P1192" t="str">
        <f t="shared" si="37"/>
        <v>Hospital Central de Nampula</v>
      </c>
      <c r="Q1192" t="s">
        <v>37</v>
      </c>
      <c r="R1192">
        <v>4</v>
      </c>
    </row>
    <row r="1193" spans="1:18" x14ac:dyDescent="0.45">
      <c r="A1193" t="s">
        <v>1278</v>
      </c>
      <c r="B1193" s="3">
        <v>45247</v>
      </c>
      <c r="C1193">
        <v>46</v>
      </c>
      <c r="D1193" t="s">
        <v>20</v>
      </c>
      <c r="E1193">
        <v>62.9</v>
      </c>
      <c r="F1193">
        <v>165.4</v>
      </c>
      <c r="G1193" s="4">
        <f t="shared" si="36"/>
        <v>22.992152694212407</v>
      </c>
      <c r="H1193" t="s">
        <v>41</v>
      </c>
      <c r="I1193" t="s">
        <v>42</v>
      </c>
      <c r="J1193">
        <v>110</v>
      </c>
      <c r="K1193">
        <v>73</v>
      </c>
      <c r="L1193">
        <v>119</v>
      </c>
      <c r="M1193">
        <v>9</v>
      </c>
      <c r="N1193" s="5">
        <v>12163.75</v>
      </c>
      <c r="O1193" t="s">
        <v>43</v>
      </c>
      <c r="P1193" t="str">
        <f t="shared" si="37"/>
        <v>Hospital Central da Beira</v>
      </c>
      <c r="Q1193" t="s">
        <v>24</v>
      </c>
      <c r="R1193">
        <v>5</v>
      </c>
    </row>
    <row r="1194" spans="1:18" x14ac:dyDescent="0.45">
      <c r="A1194" t="s">
        <v>1279</v>
      </c>
      <c r="B1194" s="3">
        <v>44996</v>
      </c>
      <c r="C1194">
        <v>4</v>
      </c>
      <c r="D1194" t="s">
        <v>27</v>
      </c>
      <c r="E1194">
        <v>24.4</v>
      </c>
      <c r="F1194">
        <v>79.7</v>
      </c>
      <c r="G1194" s="4">
        <f t="shared" si="36"/>
        <v>38.412553978296906</v>
      </c>
      <c r="H1194" t="s">
        <v>28</v>
      </c>
      <c r="I1194" t="s">
        <v>73</v>
      </c>
      <c r="J1194">
        <v>99</v>
      </c>
      <c r="K1194">
        <v>69</v>
      </c>
      <c r="L1194">
        <v>83</v>
      </c>
      <c r="M1194">
        <v>3</v>
      </c>
      <c r="N1194" s="5">
        <v>9211.1299999999992</v>
      </c>
      <c r="O1194" t="s">
        <v>30</v>
      </c>
      <c r="P1194" t="str">
        <f t="shared" si="37"/>
        <v>Hospital Provincial de Inhambane</v>
      </c>
      <c r="Q1194" t="s">
        <v>24</v>
      </c>
      <c r="R1194">
        <v>4</v>
      </c>
    </row>
    <row r="1195" spans="1:18" x14ac:dyDescent="0.45">
      <c r="A1195" t="s">
        <v>1280</v>
      </c>
      <c r="B1195" s="3">
        <v>45101</v>
      </c>
      <c r="C1195">
        <v>10</v>
      </c>
      <c r="D1195" t="s">
        <v>27</v>
      </c>
      <c r="E1195">
        <v>3</v>
      </c>
      <c r="F1195">
        <v>72</v>
      </c>
      <c r="G1195" s="4">
        <f t="shared" si="36"/>
        <v>5.7870370370370372</v>
      </c>
      <c r="H1195" t="s">
        <v>28</v>
      </c>
      <c r="I1195" t="s">
        <v>29</v>
      </c>
      <c r="J1195">
        <v>122</v>
      </c>
      <c r="K1195">
        <v>72</v>
      </c>
      <c r="L1195">
        <v>102</v>
      </c>
      <c r="M1195">
        <v>1</v>
      </c>
      <c r="N1195" s="5">
        <v>2694.65</v>
      </c>
      <c r="O1195" t="s">
        <v>23</v>
      </c>
      <c r="P1195" t="str">
        <f t="shared" si="37"/>
        <v>Hospital Central de Maputo</v>
      </c>
      <c r="Q1195" t="s">
        <v>37</v>
      </c>
      <c r="R1195">
        <v>2</v>
      </c>
    </row>
    <row r="1196" spans="1:18" x14ac:dyDescent="0.45">
      <c r="A1196" t="s">
        <v>1281</v>
      </c>
      <c r="B1196" s="3">
        <v>45242</v>
      </c>
      <c r="C1196">
        <v>14</v>
      </c>
      <c r="D1196" t="s">
        <v>20</v>
      </c>
      <c r="E1196">
        <v>72.599999999999994</v>
      </c>
      <c r="F1196">
        <v>162.19999999999999</v>
      </c>
      <c r="G1196" s="4">
        <f t="shared" si="36"/>
        <v>27.595287363486953</v>
      </c>
      <c r="H1196" t="s">
        <v>28</v>
      </c>
      <c r="I1196" t="s">
        <v>50</v>
      </c>
      <c r="J1196">
        <v>100</v>
      </c>
      <c r="K1196">
        <v>65</v>
      </c>
      <c r="L1196">
        <v>89</v>
      </c>
      <c r="M1196">
        <v>8</v>
      </c>
      <c r="N1196" s="5">
        <v>23909.96</v>
      </c>
      <c r="O1196" t="s">
        <v>38</v>
      </c>
      <c r="P1196" t="str">
        <f t="shared" si="37"/>
        <v>Hospital Provincial de Xai-Xai</v>
      </c>
      <c r="Q1196" t="s">
        <v>37</v>
      </c>
      <c r="R1196">
        <v>5</v>
      </c>
    </row>
    <row r="1197" spans="1:18" x14ac:dyDescent="0.45">
      <c r="A1197" t="s">
        <v>1282</v>
      </c>
      <c r="B1197" s="3">
        <v>45048</v>
      </c>
      <c r="C1197">
        <v>23</v>
      </c>
      <c r="D1197" t="s">
        <v>27</v>
      </c>
      <c r="E1197">
        <v>73.400000000000006</v>
      </c>
      <c r="F1197">
        <v>165.3</v>
      </c>
      <c r="G1197" s="4">
        <f t="shared" si="36"/>
        <v>26.862742729950021</v>
      </c>
      <c r="H1197" t="s">
        <v>55</v>
      </c>
      <c r="I1197" t="s">
        <v>56</v>
      </c>
      <c r="J1197">
        <v>115</v>
      </c>
      <c r="K1197">
        <v>68</v>
      </c>
      <c r="L1197">
        <v>77</v>
      </c>
      <c r="M1197">
        <v>3</v>
      </c>
      <c r="N1197" s="5">
        <v>6720.41</v>
      </c>
      <c r="O1197" t="s">
        <v>31</v>
      </c>
      <c r="P1197" t="str">
        <f t="shared" si="37"/>
        <v>Hospital Provincial da Matola</v>
      </c>
      <c r="Q1197" t="s">
        <v>24</v>
      </c>
      <c r="R1197">
        <v>5</v>
      </c>
    </row>
    <row r="1198" spans="1:18" x14ac:dyDescent="0.45">
      <c r="A1198" t="s">
        <v>1283</v>
      </c>
      <c r="B1198" s="3">
        <v>45631</v>
      </c>
      <c r="C1198">
        <v>16</v>
      </c>
      <c r="D1198" t="s">
        <v>20</v>
      </c>
      <c r="E1198">
        <v>61</v>
      </c>
      <c r="F1198">
        <v>172</v>
      </c>
      <c r="G1198" s="4">
        <f t="shared" si="36"/>
        <v>20.61925365062196</v>
      </c>
      <c r="H1198" t="s">
        <v>28</v>
      </c>
      <c r="I1198" t="s">
        <v>75</v>
      </c>
      <c r="J1198">
        <v>107</v>
      </c>
      <c r="K1198">
        <v>59</v>
      </c>
      <c r="L1198">
        <v>91</v>
      </c>
      <c r="M1198">
        <v>1</v>
      </c>
      <c r="N1198" s="5">
        <v>3813.08</v>
      </c>
      <c r="O1198" t="s">
        <v>63</v>
      </c>
      <c r="P1198" t="str">
        <f t="shared" si="37"/>
        <v>Hospital Central de Nampula</v>
      </c>
      <c r="Q1198" t="s">
        <v>24</v>
      </c>
      <c r="R1198">
        <v>4</v>
      </c>
    </row>
    <row r="1199" spans="1:18" x14ac:dyDescent="0.45">
      <c r="A1199" t="s">
        <v>1284</v>
      </c>
      <c r="B1199" s="3">
        <v>44936</v>
      </c>
      <c r="C1199">
        <v>20</v>
      </c>
      <c r="D1199" t="s">
        <v>27</v>
      </c>
      <c r="E1199">
        <v>61.6</v>
      </c>
      <c r="F1199">
        <v>166.1</v>
      </c>
      <c r="G1199" s="4">
        <f t="shared" si="36"/>
        <v>22.327569364980004</v>
      </c>
      <c r="H1199" t="s">
        <v>99</v>
      </c>
      <c r="I1199" t="s">
        <v>105</v>
      </c>
      <c r="J1199">
        <v>113</v>
      </c>
      <c r="K1199">
        <v>67</v>
      </c>
      <c r="L1199">
        <v>70</v>
      </c>
      <c r="M1199">
        <v>7</v>
      </c>
      <c r="N1199" s="5">
        <v>11339.64</v>
      </c>
      <c r="O1199" t="s">
        <v>31</v>
      </c>
      <c r="P1199" t="str">
        <f t="shared" si="37"/>
        <v>Hospital Provincial da Matola</v>
      </c>
      <c r="Q1199" t="s">
        <v>37</v>
      </c>
      <c r="R1199">
        <v>5</v>
      </c>
    </row>
    <row r="1200" spans="1:18" x14ac:dyDescent="0.45">
      <c r="A1200" t="s">
        <v>1285</v>
      </c>
      <c r="B1200" s="3">
        <v>44978</v>
      </c>
      <c r="C1200">
        <v>48</v>
      </c>
      <c r="D1200" t="s">
        <v>20</v>
      </c>
      <c r="E1200">
        <v>67.7</v>
      </c>
      <c r="F1200">
        <v>156.6</v>
      </c>
      <c r="G1200" s="4">
        <f t="shared" si="36"/>
        <v>27.606106128147797</v>
      </c>
      <c r="H1200" t="s">
        <v>41</v>
      </c>
      <c r="I1200" t="s">
        <v>161</v>
      </c>
      <c r="J1200">
        <v>128</v>
      </c>
      <c r="K1200">
        <v>77</v>
      </c>
      <c r="L1200">
        <v>96</v>
      </c>
      <c r="M1200">
        <v>2</v>
      </c>
      <c r="N1200" s="5">
        <v>8708.51</v>
      </c>
      <c r="O1200" t="s">
        <v>57</v>
      </c>
      <c r="P1200" t="str">
        <f t="shared" si="37"/>
        <v>Hospital Provincial de Tete</v>
      </c>
      <c r="Q1200" t="s">
        <v>24</v>
      </c>
      <c r="R1200">
        <v>5</v>
      </c>
    </row>
    <row r="1201" spans="1:18" x14ac:dyDescent="0.45">
      <c r="A1201" t="s">
        <v>1286</v>
      </c>
      <c r="B1201" s="3">
        <v>45244</v>
      </c>
      <c r="C1201">
        <v>12</v>
      </c>
      <c r="D1201" t="s">
        <v>20</v>
      </c>
      <c r="E1201">
        <v>55.8</v>
      </c>
      <c r="F1201">
        <v>153</v>
      </c>
      <c r="G1201" s="4">
        <f t="shared" si="36"/>
        <v>23.836985774702036</v>
      </c>
      <c r="H1201" t="s">
        <v>28</v>
      </c>
      <c r="I1201" t="s">
        <v>75</v>
      </c>
      <c r="J1201">
        <v>117</v>
      </c>
      <c r="K1201">
        <v>67</v>
      </c>
      <c r="L1201">
        <v>65</v>
      </c>
      <c r="M1201">
        <v>1</v>
      </c>
      <c r="N1201" s="5">
        <v>4684.92</v>
      </c>
      <c r="O1201" t="s">
        <v>63</v>
      </c>
      <c r="P1201" t="str">
        <f t="shared" si="37"/>
        <v>Hospital Central de Nampula</v>
      </c>
      <c r="Q1201" t="s">
        <v>24</v>
      </c>
      <c r="R1201">
        <v>3</v>
      </c>
    </row>
    <row r="1202" spans="1:18" x14ac:dyDescent="0.45">
      <c r="A1202" t="s">
        <v>1287</v>
      </c>
      <c r="B1202" s="3">
        <v>45472</v>
      </c>
      <c r="C1202">
        <v>57</v>
      </c>
      <c r="D1202" t="s">
        <v>27</v>
      </c>
      <c r="E1202">
        <v>62.3</v>
      </c>
      <c r="F1202">
        <v>156.6</v>
      </c>
      <c r="G1202" s="4">
        <f t="shared" si="36"/>
        <v>25.404141976124187</v>
      </c>
      <c r="H1202" t="s">
        <v>41</v>
      </c>
      <c r="I1202" t="s">
        <v>217</v>
      </c>
      <c r="J1202">
        <v>139</v>
      </c>
      <c r="K1202">
        <v>82</v>
      </c>
      <c r="L1202">
        <v>106</v>
      </c>
      <c r="M1202">
        <v>3</v>
      </c>
      <c r="N1202" s="5">
        <v>7744.64</v>
      </c>
      <c r="O1202" t="s">
        <v>63</v>
      </c>
      <c r="P1202" t="str">
        <f t="shared" si="37"/>
        <v>Hospital Central de Nampula</v>
      </c>
      <c r="Q1202" t="s">
        <v>24</v>
      </c>
      <c r="R1202">
        <v>3</v>
      </c>
    </row>
    <row r="1203" spans="1:18" x14ac:dyDescent="0.45">
      <c r="A1203" t="s">
        <v>1288</v>
      </c>
      <c r="B1203" s="3">
        <v>45210</v>
      </c>
      <c r="C1203">
        <v>60</v>
      </c>
      <c r="D1203" t="s">
        <v>27</v>
      </c>
      <c r="E1203">
        <v>57.6</v>
      </c>
      <c r="F1203">
        <v>154.6</v>
      </c>
      <c r="G1203" s="4">
        <f t="shared" si="36"/>
        <v>24.099248739391729</v>
      </c>
      <c r="H1203" t="s">
        <v>55</v>
      </c>
      <c r="I1203" t="s">
        <v>56</v>
      </c>
      <c r="J1203">
        <v>101</v>
      </c>
      <c r="K1203">
        <v>58</v>
      </c>
      <c r="L1203">
        <v>108</v>
      </c>
      <c r="M1203">
        <v>1</v>
      </c>
      <c r="N1203" s="5">
        <v>5713.39</v>
      </c>
      <c r="O1203" t="s">
        <v>52</v>
      </c>
      <c r="P1203" t="str">
        <f t="shared" si="37"/>
        <v>Hospital Provincial de Chimoio</v>
      </c>
      <c r="Q1203" t="s">
        <v>202</v>
      </c>
      <c r="R1203">
        <v>5</v>
      </c>
    </row>
    <row r="1204" spans="1:18" x14ac:dyDescent="0.45">
      <c r="A1204" t="s">
        <v>1289</v>
      </c>
      <c r="B1204" s="3">
        <v>45533</v>
      </c>
      <c r="C1204">
        <v>2</v>
      </c>
      <c r="D1204" t="s">
        <v>20</v>
      </c>
      <c r="E1204">
        <v>23.7</v>
      </c>
      <c r="F1204">
        <v>59.9</v>
      </c>
      <c r="G1204" s="4">
        <f t="shared" si="36"/>
        <v>66.053327610569653</v>
      </c>
      <c r="H1204" t="s">
        <v>28</v>
      </c>
      <c r="I1204" t="s">
        <v>73</v>
      </c>
      <c r="J1204">
        <v>87</v>
      </c>
      <c r="K1204">
        <v>55</v>
      </c>
      <c r="L1204">
        <v>79</v>
      </c>
      <c r="M1204">
        <v>4</v>
      </c>
      <c r="N1204" s="5">
        <v>10236.370000000001</v>
      </c>
      <c r="O1204" t="s">
        <v>23</v>
      </c>
      <c r="P1204" t="str">
        <f t="shared" si="37"/>
        <v>Hospital Central de Maputo</v>
      </c>
      <c r="Q1204" t="s">
        <v>24</v>
      </c>
      <c r="R1204">
        <v>3</v>
      </c>
    </row>
    <row r="1205" spans="1:18" x14ac:dyDescent="0.45">
      <c r="A1205" t="s">
        <v>1290</v>
      </c>
      <c r="B1205" s="3">
        <v>45550</v>
      </c>
      <c r="C1205">
        <v>12</v>
      </c>
      <c r="D1205" t="s">
        <v>27</v>
      </c>
      <c r="E1205">
        <v>72.099999999999994</v>
      </c>
      <c r="F1205">
        <v>167.8</v>
      </c>
      <c r="G1205" s="4">
        <f t="shared" si="36"/>
        <v>25.60656664597305</v>
      </c>
      <c r="H1205" t="s">
        <v>99</v>
      </c>
      <c r="I1205" t="s">
        <v>151</v>
      </c>
      <c r="J1205">
        <v>100</v>
      </c>
      <c r="K1205">
        <v>60</v>
      </c>
      <c r="L1205">
        <v>94</v>
      </c>
      <c r="M1205">
        <v>1</v>
      </c>
      <c r="N1205" s="5">
        <v>4948.63</v>
      </c>
      <c r="O1205" t="s">
        <v>51</v>
      </c>
      <c r="P1205" t="str">
        <f t="shared" si="37"/>
        <v>Hospital Central de Quelimane</v>
      </c>
      <c r="Q1205" t="s">
        <v>24</v>
      </c>
      <c r="R1205">
        <v>5</v>
      </c>
    </row>
    <row r="1206" spans="1:18" x14ac:dyDescent="0.45">
      <c r="A1206" t="s">
        <v>1291</v>
      </c>
      <c r="B1206" s="3">
        <v>45462</v>
      </c>
      <c r="C1206">
        <v>34</v>
      </c>
      <c r="D1206" t="s">
        <v>20</v>
      </c>
      <c r="E1206">
        <v>53.2</v>
      </c>
      <c r="F1206">
        <v>150.30000000000001</v>
      </c>
      <c r="G1206" s="4">
        <f t="shared" si="36"/>
        <v>23.550149645264803</v>
      </c>
      <c r="H1206" t="s">
        <v>21</v>
      </c>
      <c r="I1206" t="s">
        <v>70</v>
      </c>
      <c r="J1206">
        <v>111</v>
      </c>
      <c r="K1206">
        <v>62</v>
      </c>
      <c r="L1206">
        <v>108</v>
      </c>
      <c r="M1206">
        <v>5</v>
      </c>
      <c r="N1206" s="5">
        <v>13638.65</v>
      </c>
      <c r="O1206" t="s">
        <v>36</v>
      </c>
      <c r="P1206" t="str">
        <f t="shared" si="37"/>
        <v>Hospital Provincial de Lichinga</v>
      </c>
      <c r="Q1206" t="s">
        <v>37</v>
      </c>
      <c r="R1206">
        <v>2</v>
      </c>
    </row>
    <row r="1207" spans="1:18" x14ac:dyDescent="0.45">
      <c r="A1207" t="s">
        <v>1292</v>
      </c>
      <c r="B1207" s="3">
        <v>45271</v>
      </c>
      <c r="C1207">
        <v>41</v>
      </c>
      <c r="D1207" t="s">
        <v>27</v>
      </c>
      <c r="E1207">
        <v>70.5</v>
      </c>
      <c r="F1207">
        <v>165.3</v>
      </c>
      <c r="G1207" s="4">
        <f t="shared" si="36"/>
        <v>25.801408207922019</v>
      </c>
      <c r="H1207" t="s">
        <v>99</v>
      </c>
      <c r="I1207" t="s">
        <v>103</v>
      </c>
      <c r="J1207">
        <v>105</v>
      </c>
      <c r="K1207">
        <v>59</v>
      </c>
      <c r="L1207">
        <v>82</v>
      </c>
      <c r="M1207">
        <v>1</v>
      </c>
      <c r="N1207" s="5">
        <v>6347.62</v>
      </c>
      <c r="O1207" t="s">
        <v>57</v>
      </c>
      <c r="P1207" t="str">
        <f t="shared" si="37"/>
        <v>Hospital Provincial de Tete</v>
      </c>
      <c r="Q1207" t="s">
        <v>24</v>
      </c>
      <c r="R1207">
        <v>5</v>
      </c>
    </row>
    <row r="1208" spans="1:18" x14ac:dyDescent="0.45">
      <c r="A1208" t="s">
        <v>1293</v>
      </c>
      <c r="B1208" s="3">
        <v>45018</v>
      </c>
      <c r="C1208">
        <v>34</v>
      </c>
      <c r="D1208" t="s">
        <v>27</v>
      </c>
      <c r="E1208">
        <v>65.8</v>
      </c>
      <c r="F1208">
        <v>162.6</v>
      </c>
      <c r="G1208" s="4">
        <f t="shared" si="36"/>
        <v>24.887702751566263</v>
      </c>
      <c r="H1208" t="s">
        <v>46</v>
      </c>
      <c r="I1208" t="s">
        <v>66</v>
      </c>
      <c r="J1208">
        <v>113</v>
      </c>
      <c r="K1208">
        <v>72</v>
      </c>
      <c r="L1208">
        <v>75</v>
      </c>
      <c r="M1208">
        <v>1</v>
      </c>
      <c r="N1208" s="5">
        <v>4720.5</v>
      </c>
      <c r="O1208" t="s">
        <v>23</v>
      </c>
      <c r="P1208" t="str">
        <f t="shared" si="37"/>
        <v>Hospital Central de Maputo</v>
      </c>
      <c r="Q1208" t="s">
        <v>24</v>
      </c>
      <c r="R1208">
        <v>5</v>
      </c>
    </row>
    <row r="1209" spans="1:18" x14ac:dyDescent="0.45">
      <c r="A1209" t="s">
        <v>1294</v>
      </c>
      <c r="B1209" s="3">
        <v>45008</v>
      </c>
      <c r="C1209">
        <v>17</v>
      </c>
      <c r="D1209" t="s">
        <v>20</v>
      </c>
      <c r="E1209">
        <v>36.299999999999997</v>
      </c>
      <c r="F1209">
        <v>178.7</v>
      </c>
      <c r="G1209" s="4">
        <f t="shared" si="36"/>
        <v>11.367305187718676</v>
      </c>
      <c r="H1209" t="s">
        <v>28</v>
      </c>
      <c r="I1209" t="s">
        <v>75</v>
      </c>
      <c r="J1209">
        <v>100</v>
      </c>
      <c r="K1209">
        <v>70</v>
      </c>
      <c r="L1209">
        <v>84</v>
      </c>
      <c r="M1209">
        <v>5</v>
      </c>
      <c r="N1209" s="5">
        <v>5769.14</v>
      </c>
      <c r="O1209" t="s">
        <v>52</v>
      </c>
      <c r="P1209" t="str">
        <f t="shared" si="37"/>
        <v>Hospital Provincial de Chimoio</v>
      </c>
      <c r="Q1209" t="s">
        <v>37</v>
      </c>
      <c r="R1209">
        <v>5</v>
      </c>
    </row>
    <row r="1210" spans="1:18" x14ac:dyDescent="0.45">
      <c r="A1210" t="s">
        <v>1295</v>
      </c>
      <c r="B1210" s="3">
        <v>45441</v>
      </c>
      <c r="C1210">
        <v>45</v>
      </c>
      <c r="D1210" t="s">
        <v>20</v>
      </c>
      <c r="E1210">
        <v>66.400000000000006</v>
      </c>
      <c r="F1210">
        <v>167.5</v>
      </c>
      <c r="G1210" s="4">
        <f t="shared" si="36"/>
        <v>23.666740922254402</v>
      </c>
      <c r="H1210" t="s">
        <v>21</v>
      </c>
      <c r="I1210" t="s">
        <v>123</v>
      </c>
      <c r="J1210">
        <v>121</v>
      </c>
      <c r="K1210">
        <v>81</v>
      </c>
      <c r="L1210">
        <v>65</v>
      </c>
      <c r="M1210">
        <v>10</v>
      </c>
      <c r="N1210" s="5">
        <v>29532.6</v>
      </c>
      <c r="O1210" t="s">
        <v>31</v>
      </c>
      <c r="P1210" t="str">
        <f t="shared" si="37"/>
        <v>Hospital Provincial da Matola</v>
      </c>
      <c r="Q1210" t="s">
        <v>24</v>
      </c>
      <c r="R1210">
        <v>3</v>
      </c>
    </row>
    <row r="1211" spans="1:18" x14ac:dyDescent="0.45">
      <c r="A1211" t="s">
        <v>1296</v>
      </c>
      <c r="B1211" s="3">
        <v>45377</v>
      </c>
      <c r="C1211">
        <v>11</v>
      </c>
      <c r="D1211" t="s">
        <v>20</v>
      </c>
      <c r="E1211">
        <v>17.8</v>
      </c>
      <c r="F1211">
        <v>135.5</v>
      </c>
      <c r="G1211" s="4">
        <f t="shared" si="36"/>
        <v>9.6948570961724378</v>
      </c>
      <c r="H1211" t="s">
        <v>28</v>
      </c>
      <c r="I1211" t="s">
        <v>73</v>
      </c>
      <c r="J1211">
        <v>100</v>
      </c>
      <c r="K1211">
        <v>62</v>
      </c>
      <c r="L1211">
        <v>112</v>
      </c>
      <c r="M1211">
        <v>4</v>
      </c>
      <c r="N1211" s="5">
        <v>11653.12</v>
      </c>
      <c r="O1211" t="s">
        <v>36</v>
      </c>
      <c r="P1211" t="str">
        <f t="shared" si="37"/>
        <v>Hospital Provincial de Lichinga</v>
      </c>
      <c r="Q1211" t="s">
        <v>76</v>
      </c>
      <c r="R1211">
        <v>5</v>
      </c>
    </row>
    <row r="1212" spans="1:18" x14ac:dyDescent="0.45">
      <c r="A1212" t="s">
        <v>1297</v>
      </c>
      <c r="B1212" s="3">
        <v>45367</v>
      </c>
      <c r="C1212">
        <v>55</v>
      </c>
      <c r="D1212" t="s">
        <v>20</v>
      </c>
      <c r="E1212">
        <v>73.3</v>
      </c>
      <c r="F1212">
        <v>160.30000000000001</v>
      </c>
      <c r="G1212" s="4">
        <f t="shared" si="36"/>
        <v>28.525740686618072</v>
      </c>
      <c r="H1212" t="s">
        <v>91</v>
      </c>
      <c r="I1212" t="s">
        <v>110</v>
      </c>
      <c r="J1212">
        <v>127</v>
      </c>
      <c r="K1212">
        <v>74</v>
      </c>
      <c r="L1212">
        <v>102</v>
      </c>
      <c r="M1212">
        <v>3</v>
      </c>
      <c r="N1212" s="5">
        <v>8326.7999999999993</v>
      </c>
      <c r="O1212" t="s">
        <v>63</v>
      </c>
      <c r="P1212" t="str">
        <f t="shared" si="37"/>
        <v>Hospital Central de Nampula</v>
      </c>
      <c r="Q1212" t="s">
        <v>24</v>
      </c>
      <c r="R1212">
        <v>4</v>
      </c>
    </row>
    <row r="1213" spans="1:18" x14ac:dyDescent="0.45">
      <c r="A1213" t="s">
        <v>1298</v>
      </c>
      <c r="B1213" s="3">
        <v>45179</v>
      </c>
      <c r="C1213">
        <v>19</v>
      </c>
      <c r="D1213" t="s">
        <v>27</v>
      </c>
      <c r="E1213">
        <v>56.5</v>
      </c>
      <c r="F1213">
        <v>154.4</v>
      </c>
      <c r="G1213" s="4">
        <f t="shared" si="36"/>
        <v>23.700300679212862</v>
      </c>
      <c r="H1213" t="s">
        <v>34</v>
      </c>
      <c r="I1213" t="s">
        <v>138</v>
      </c>
      <c r="J1213">
        <v>108</v>
      </c>
      <c r="K1213">
        <v>70</v>
      </c>
      <c r="L1213">
        <v>89</v>
      </c>
      <c r="M1213">
        <v>3</v>
      </c>
      <c r="N1213" s="5">
        <v>12193.19</v>
      </c>
      <c r="O1213" t="s">
        <v>43</v>
      </c>
      <c r="P1213" t="str">
        <f t="shared" si="37"/>
        <v>Hospital Central da Beira</v>
      </c>
      <c r="Q1213" t="s">
        <v>24</v>
      </c>
      <c r="R1213">
        <v>3</v>
      </c>
    </row>
    <row r="1214" spans="1:18" x14ac:dyDescent="0.45">
      <c r="A1214" t="s">
        <v>1299</v>
      </c>
      <c r="B1214" s="3">
        <v>45108</v>
      </c>
      <c r="C1214">
        <v>37</v>
      </c>
      <c r="D1214" t="s">
        <v>20</v>
      </c>
      <c r="E1214">
        <v>86.5</v>
      </c>
      <c r="F1214">
        <v>166.4</v>
      </c>
      <c r="G1214" s="4">
        <f t="shared" si="36"/>
        <v>31.23988766642011</v>
      </c>
      <c r="H1214" t="s">
        <v>91</v>
      </c>
      <c r="I1214" t="s">
        <v>131</v>
      </c>
      <c r="J1214">
        <v>126</v>
      </c>
      <c r="K1214">
        <v>71</v>
      </c>
      <c r="L1214">
        <v>70</v>
      </c>
      <c r="M1214">
        <v>12</v>
      </c>
      <c r="N1214" s="5">
        <v>23088</v>
      </c>
      <c r="O1214" t="s">
        <v>30</v>
      </c>
      <c r="P1214" t="str">
        <f t="shared" si="37"/>
        <v>Hospital Provincial de Inhambane</v>
      </c>
      <c r="Q1214" t="s">
        <v>37</v>
      </c>
      <c r="R1214">
        <v>4</v>
      </c>
    </row>
    <row r="1215" spans="1:18" x14ac:dyDescent="0.45">
      <c r="A1215" t="s">
        <v>1300</v>
      </c>
      <c r="B1215" s="3">
        <v>45233</v>
      </c>
      <c r="C1215">
        <v>34</v>
      </c>
      <c r="D1215" t="s">
        <v>27</v>
      </c>
      <c r="E1215">
        <v>81.400000000000006</v>
      </c>
      <c r="F1215">
        <v>165.3</v>
      </c>
      <c r="G1215" s="4">
        <f t="shared" si="36"/>
        <v>29.790562101061738</v>
      </c>
      <c r="H1215" t="s">
        <v>99</v>
      </c>
      <c r="I1215" t="s">
        <v>105</v>
      </c>
      <c r="J1215">
        <v>117</v>
      </c>
      <c r="K1215">
        <v>69</v>
      </c>
      <c r="L1215">
        <v>86</v>
      </c>
      <c r="M1215">
        <v>15</v>
      </c>
      <c r="N1215" s="5">
        <v>14827.8</v>
      </c>
      <c r="O1215" t="s">
        <v>43</v>
      </c>
      <c r="P1215" t="str">
        <f t="shared" si="37"/>
        <v>Hospital Central da Beira</v>
      </c>
      <c r="Q1215" t="s">
        <v>24</v>
      </c>
      <c r="R1215">
        <v>5</v>
      </c>
    </row>
    <row r="1216" spans="1:18" x14ac:dyDescent="0.45">
      <c r="A1216" t="s">
        <v>1301</v>
      </c>
      <c r="B1216" s="3">
        <v>45448</v>
      </c>
      <c r="C1216">
        <v>8</v>
      </c>
      <c r="D1216" t="s">
        <v>20</v>
      </c>
      <c r="E1216">
        <v>27.5</v>
      </c>
      <c r="F1216">
        <v>76.8</v>
      </c>
      <c r="G1216" s="4">
        <f t="shared" si="36"/>
        <v>46.624077690972221</v>
      </c>
      <c r="H1216" t="s">
        <v>28</v>
      </c>
      <c r="I1216" t="s">
        <v>50</v>
      </c>
      <c r="J1216">
        <v>89</v>
      </c>
      <c r="K1216">
        <v>55</v>
      </c>
      <c r="L1216">
        <v>98</v>
      </c>
      <c r="M1216">
        <v>3</v>
      </c>
      <c r="N1216" s="5">
        <v>7407.62</v>
      </c>
      <c r="O1216" t="s">
        <v>52</v>
      </c>
      <c r="P1216" t="str">
        <f t="shared" si="37"/>
        <v>Hospital Provincial de Chimoio</v>
      </c>
      <c r="Q1216" t="s">
        <v>24</v>
      </c>
      <c r="R1216">
        <v>5</v>
      </c>
    </row>
    <row r="1217" spans="1:18" x14ac:dyDescent="0.45">
      <c r="A1217" t="s">
        <v>1302</v>
      </c>
      <c r="B1217" s="3">
        <v>45602</v>
      </c>
      <c r="C1217">
        <v>18</v>
      </c>
      <c r="D1217" t="s">
        <v>20</v>
      </c>
      <c r="E1217">
        <v>63.3</v>
      </c>
      <c r="F1217">
        <v>147.69999999999999</v>
      </c>
      <c r="G1217" s="4">
        <f t="shared" si="36"/>
        <v>29.01634587484283</v>
      </c>
      <c r="H1217" t="s">
        <v>55</v>
      </c>
      <c r="I1217" t="s">
        <v>197</v>
      </c>
      <c r="J1217">
        <v>104</v>
      </c>
      <c r="K1217">
        <v>72</v>
      </c>
      <c r="L1217">
        <v>74</v>
      </c>
      <c r="M1217">
        <v>1</v>
      </c>
      <c r="N1217" s="5">
        <v>5556.95</v>
      </c>
      <c r="O1217" t="s">
        <v>51</v>
      </c>
      <c r="P1217" t="str">
        <f t="shared" si="37"/>
        <v>Hospital Central de Quelimane</v>
      </c>
      <c r="Q1217" t="s">
        <v>37</v>
      </c>
      <c r="R1217">
        <v>5</v>
      </c>
    </row>
    <row r="1218" spans="1:18" x14ac:dyDescent="0.45">
      <c r="A1218" t="s">
        <v>1303</v>
      </c>
      <c r="B1218" s="3">
        <v>45477</v>
      </c>
      <c r="C1218">
        <v>15</v>
      </c>
      <c r="D1218" t="s">
        <v>27</v>
      </c>
      <c r="E1218">
        <v>39.9</v>
      </c>
      <c r="F1218">
        <v>165</v>
      </c>
      <c r="G1218" s="4">
        <f t="shared" ref="G1218:G1281" si="38">E1218/((F1218/100)^2)</f>
        <v>14.655647382920112</v>
      </c>
      <c r="H1218" t="s">
        <v>28</v>
      </c>
      <c r="I1218" t="s">
        <v>29</v>
      </c>
      <c r="J1218">
        <v>113</v>
      </c>
      <c r="K1218">
        <v>85</v>
      </c>
      <c r="L1218">
        <v>93</v>
      </c>
      <c r="M1218">
        <v>6</v>
      </c>
      <c r="N1218" s="5">
        <v>22299.88</v>
      </c>
      <c r="O1218" t="s">
        <v>63</v>
      </c>
      <c r="P1218" t="str">
        <f t="shared" ref="P1218:P1281" si="39">INDEX($U$2:$U$12,MATCH(O1218,$T$2:$T$12,0))</f>
        <v>Hospital Central de Nampula</v>
      </c>
      <c r="Q1218" t="s">
        <v>24</v>
      </c>
      <c r="R1218">
        <v>5</v>
      </c>
    </row>
    <row r="1219" spans="1:18" x14ac:dyDescent="0.45">
      <c r="A1219" t="s">
        <v>1304</v>
      </c>
      <c r="B1219" s="3">
        <v>45204</v>
      </c>
      <c r="C1219">
        <v>6</v>
      </c>
      <c r="D1219" t="s">
        <v>20</v>
      </c>
      <c r="E1219">
        <v>23.7</v>
      </c>
      <c r="F1219">
        <v>88.7</v>
      </c>
      <c r="G1219" s="4">
        <f t="shared" si="38"/>
        <v>30.123200075244448</v>
      </c>
      <c r="H1219" t="s">
        <v>28</v>
      </c>
      <c r="I1219" t="s">
        <v>29</v>
      </c>
      <c r="J1219">
        <v>85</v>
      </c>
      <c r="K1219">
        <v>55</v>
      </c>
      <c r="L1219">
        <v>72</v>
      </c>
      <c r="M1219">
        <v>5</v>
      </c>
      <c r="N1219" s="5">
        <v>8446.4500000000007</v>
      </c>
      <c r="O1219" t="s">
        <v>43</v>
      </c>
      <c r="P1219" t="str">
        <f t="shared" si="39"/>
        <v>Hospital Central da Beira</v>
      </c>
      <c r="Q1219" t="s">
        <v>24</v>
      </c>
      <c r="R1219">
        <v>3</v>
      </c>
    </row>
    <row r="1220" spans="1:18" x14ac:dyDescent="0.45">
      <c r="A1220" t="s">
        <v>1305</v>
      </c>
      <c r="B1220" s="3">
        <v>45165</v>
      </c>
      <c r="C1220">
        <v>53</v>
      </c>
      <c r="D1220" t="s">
        <v>20</v>
      </c>
      <c r="E1220">
        <v>60</v>
      </c>
      <c r="F1220">
        <v>170.8</v>
      </c>
      <c r="G1220" s="4">
        <f t="shared" si="38"/>
        <v>20.567216405508717</v>
      </c>
      <c r="H1220" t="s">
        <v>55</v>
      </c>
      <c r="I1220" t="s">
        <v>80</v>
      </c>
      <c r="J1220">
        <v>104</v>
      </c>
      <c r="K1220">
        <v>63</v>
      </c>
      <c r="L1220">
        <v>87</v>
      </c>
      <c r="M1220">
        <v>3</v>
      </c>
      <c r="N1220" s="5">
        <v>8612.61</v>
      </c>
      <c r="O1220" t="s">
        <v>63</v>
      </c>
      <c r="P1220" t="str">
        <f t="shared" si="39"/>
        <v>Hospital Central de Nampula</v>
      </c>
      <c r="Q1220" t="s">
        <v>76</v>
      </c>
      <c r="R1220">
        <v>5</v>
      </c>
    </row>
    <row r="1221" spans="1:18" x14ac:dyDescent="0.45">
      <c r="A1221" t="s">
        <v>1306</v>
      </c>
      <c r="B1221" s="3">
        <v>44996</v>
      </c>
      <c r="C1221">
        <v>27</v>
      </c>
      <c r="D1221" t="s">
        <v>27</v>
      </c>
      <c r="E1221">
        <v>53.8</v>
      </c>
      <c r="F1221">
        <v>172.7</v>
      </c>
      <c r="G1221" s="4">
        <f t="shared" si="38"/>
        <v>18.038382862329254</v>
      </c>
      <c r="H1221" t="s">
        <v>99</v>
      </c>
      <c r="I1221" t="s">
        <v>103</v>
      </c>
      <c r="J1221">
        <v>108</v>
      </c>
      <c r="K1221">
        <v>61</v>
      </c>
      <c r="L1221">
        <v>86</v>
      </c>
      <c r="M1221">
        <v>5</v>
      </c>
      <c r="N1221" s="5">
        <v>6037.73</v>
      </c>
      <c r="O1221" t="s">
        <v>51</v>
      </c>
      <c r="P1221" t="str">
        <f t="shared" si="39"/>
        <v>Hospital Central de Quelimane</v>
      </c>
      <c r="Q1221" t="s">
        <v>24</v>
      </c>
      <c r="R1221">
        <v>5</v>
      </c>
    </row>
    <row r="1222" spans="1:18" x14ac:dyDescent="0.45">
      <c r="A1222" t="s">
        <v>1307</v>
      </c>
      <c r="B1222" s="3">
        <v>45205</v>
      </c>
      <c r="C1222">
        <v>38</v>
      </c>
      <c r="D1222" t="s">
        <v>20</v>
      </c>
      <c r="E1222">
        <v>105.7</v>
      </c>
      <c r="F1222">
        <v>158.9</v>
      </c>
      <c r="G1222" s="4">
        <f t="shared" si="38"/>
        <v>41.862695902168824</v>
      </c>
      <c r="H1222" t="s">
        <v>55</v>
      </c>
      <c r="I1222" t="s">
        <v>197</v>
      </c>
      <c r="J1222">
        <v>116</v>
      </c>
      <c r="K1222">
        <v>79</v>
      </c>
      <c r="L1222">
        <v>112</v>
      </c>
      <c r="M1222">
        <v>5</v>
      </c>
      <c r="N1222" s="5">
        <v>13119.74</v>
      </c>
      <c r="O1222" t="s">
        <v>67</v>
      </c>
      <c r="P1222" t="str">
        <f t="shared" si="39"/>
        <v>Hospital Provincial de Pemba</v>
      </c>
      <c r="Q1222" t="s">
        <v>24</v>
      </c>
      <c r="R1222">
        <v>3</v>
      </c>
    </row>
    <row r="1223" spans="1:18" x14ac:dyDescent="0.45">
      <c r="A1223" t="s">
        <v>1308</v>
      </c>
      <c r="B1223" s="3">
        <v>45403</v>
      </c>
      <c r="C1223">
        <v>48</v>
      </c>
      <c r="D1223" t="s">
        <v>20</v>
      </c>
      <c r="E1223">
        <v>73.7</v>
      </c>
      <c r="F1223">
        <v>168.2</v>
      </c>
      <c r="G1223" s="4">
        <f t="shared" si="38"/>
        <v>26.050466504826232</v>
      </c>
      <c r="H1223" t="s">
        <v>55</v>
      </c>
      <c r="I1223" t="s">
        <v>56</v>
      </c>
      <c r="J1223">
        <v>118</v>
      </c>
      <c r="K1223">
        <v>87</v>
      </c>
      <c r="L1223">
        <v>81</v>
      </c>
      <c r="M1223">
        <v>1</v>
      </c>
      <c r="N1223" s="5">
        <v>7891.41</v>
      </c>
      <c r="O1223" t="s">
        <v>63</v>
      </c>
      <c r="P1223" t="str">
        <f t="shared" si="39"/>
        <v>Hospital Central de Nampula</v>
      </c>
      <c r="Q1223" t="s">
        <v>24</v>
      </c>
      <c r="R1223">
        <v>1</v>
      </c>
    </row>
    <row r="1224" spans="1:18" x14ac:dyDescent="0.45">
      <c r="A1224" t="s">
        <v>1309</v>
      </c>
      <c r="B1224" s="3">
        <v>45637</v>
      </c>
      <c r="C1224">
        <v>3</v>
      </c>
      <c r="D1224" t="s">
        <v>20</v>
      </c>
      <c r="E1224">
        <v>10.4</v>
      </c>
      <c r="F1224">
        <v>113.4</v>
      </c>
      <c r="G1224" s="4">
        <f t="shared" si="38"/>
        <v>8.087368463617727</v>
      </c>
      <c r="H1224" t="s">
        <v>28</v>
      </c>
      <c r="I1224" t="s">
        <v>29</v>
      </c>
      <c r="J1224">
        <v>97</v>
      </c>
      <c r="K1224">
        <v>65</v>
      </c>
      <c r="L1224">
        <v>89</v>
      </c>
      <c r="M1224">
        <v>2</v>
      </c>
      <c r="N1224" s="5">
        <v>4038.99</v>
      </c>
      <c r="O1224" t="s">
        <v>23</v>
      </c>
      <c r="P1224" t="str">
        <f t="shared" si="39"/>
        <v>Hospital Central de Maputo</v>
      </c>
      <c r="Q1224" t="s">
        <v>24</v>
      </c>
      <c r="R1224">
        <v>4</v>
      </c>
    </row>
    <row r="1225" spans="1:18" x14ac:dyDescent="0.45">
      <c r="A1225" t="s">
        <v>1310</v>
      </c>
      <c r="B1225" s="3">
        <v>45386</v>
      </c>
      <c r="C1225">
        <v>64</v>
      </c>
      <c r="D1225" t="s">
        <v>20</v>
      </c>
      <c r="E1225">
        <v>46.7</v>
      </c>
      <c r="F1225">
        <v>156.30000000000001</v>
      </c>
      <c r="G1225" s="4">
        <f t="shared" si="38"/>
        <v>19.116083748913717</v>
      </c>
      <c r="H1225" t="s">
        <v>21</v>
      </c>
      <c r="I1225" t="s">
        <v>22</v>
      </c>
      <c r="J1225">
        <v>138</v>
      </c>
      <c r="K1225">
        <v>86</v>
      </c>
      <c r="L1225">
        <v>130</v>
      </c>
      <c r="M1225">
        <v>2</v>
      </c>
      <c r="N1225" s="5">
        <v>4794.34</v>
      </c>
      <c r="O1225" t="s">
        <v>31</v>
      </c>
      <c r="P1225" t="str">
        <f t="shared" si="39"/>
        <v>Hospital Provincial da Matola</v>
      </c>
      <c r="Q1225" t="s">
        <v>202</v>
      </c>
      <c r="R1225">
        <v>4</v>
      </c>
    </row>
    <row r="1226" spans="1:18" x14ac:dyDescent="0.45">
      <c r="A1226" t="s">
        <v>1311</v>
      </c>
      <c r="B1226" s="3">
        <v>44937</v>
      </c>
      <c r="C1226">
        <v>34</v>
      </c>
      <c r="D1226" t="s">
        <v>27</v>
      </c>
      <c r="E1226">
        <v>57.5</v>
      </c>
      <c r="F1226">
        <v>161.6</v>
      </c>
      <c r="G1226" s="4">
        <f t="shared" si="38"/>
        <v>22.018368297225766</v>
      </c>
      <c r="H1226" t="s">
        <v>41</v>
      </c>
      <c r="I1226" t="s">
        <v>217</v>
      </c>
      <c r="J1226">
        <v>113</v>
      </c>
      <c r="K1226">
        <v>77</v>
      </c>
      <c r="L1226">
        <v>82</v>
      </c>
      <c r="M1226">
        <v>1</v>
      </c>
      <c r="N1226" s="5">
        <v>4006.8</v>
      </c>
      <c r="O1226" t="s">
        <v>43</v>
      </c>
      <c r="P1226" t="str">
        <f t="shared" si="39"/>
        <v>Hospital Central da Beira</v>
      </c>
      <c r="Q1226" t="s">
        <v>24</v>
      </c>
      <c r="R1226">
        <v>5</v>
      </c>
    </row>
    <row r="1227" spans="1:18" x14ac:dyDescent="0.45">
      <c r="A1227" t="s">
        <v>1312</v>
      </c>
      <c r="B1227" s="3">
        <v>45597</v>
      </c>
      <c r="C1227">
        <v>2</v>
      </c>
      <c r="D1227" t="s">
        <v>27</v>
      </c>
      <c r="E1227">
        <v>41.6</v>
      </c>
      <c r="F1227">
        <v>117.5</v>
      </c>
      <c r="G1227" s="4">
        <f t="shared" si="38"/>
        <v>30.13128112267994</v>
      </c>
      <c r="H1227" t="s">
        <v>28</v>
      </c>
      <c r="I1227" t="s">
        <v>29</v>
      </c>
      <c r="J1227">
        <v>85</v>
      </c>
      <c r="K1227">
        <v>55</v>
      </c>
      <c r="L1227">
        <v>79</v>
      </c>
      <c r="M1227">
        <v>1</v>
      </c>
      <c r="N1227" s="5">
        <v>2199.6799999999998</v>
      </c>
      <c r="O1227" t="s">
        <v>63</v>
      </c>
      <c r="P1227" t="str">
        <f t="shared" si="39"/>
        <v>Hospital Central de Nampula</v>
      </c>
      <c r="Q1227" t="s">
        <v>24</v>
      </c>
      <c r="R1227">
        <v>5</v>
      </c>
    </row>
    <row r="1228" spans="1:18" x14ac:dyDescent="0.45">
      <c r="A1228" t="s">
        <v>1313</v>
      </c>
      <c r="B1228" s="3">
        <v>45653</v>
      </c>
      <c r="C1228">
        <v>39</v>
      </c>
      <c r="D1228" t="s">
        <v>27</v>
      </c>
      <c r="E1228">
        <v>64</v>
      </c>
      <c r="F1228">
        <v>167.4</v>
      </c>
      <c r="G1228" s="4">
        <f t="shared" si="38"/>
        <v>22.838578355593807</v>
      </c>
      <c r="H1228" t="s">
        <v>46</v>
      </c>
      <c r="I1228" t="s">
        <v>47</v>
      </c>
      <c r="J1228">
        <v>126</v>
      </c>
      <c r="K1228">
        <v>87</v>
      </c>
      <c r="L1228">
        <v>109</v>
      </c>
      <c r="M1228">
        <v>1</v>
      </c>
      <c r="N1228" s="5">
        <v>2849.84</v>
      </c>
      <c r="O1228" t="s">
        <v>23</v>
      </c>
      <c r="P1228" t="str">
        <f t="shared" si="39"/>
        <v>Hospital Central de Maputo</v>
      </c>
      <c r="Q1228" t="s">
        <v>76</v>
      </c>
      <c r="R1228">
        <v>5</v>
      </c>
    </row>
    <row r="1229" spans="1:18" x14ac:dyDescent="0.45">
      <c r="A1229" t="s">
        <v>1314</v>
      </c>
      <c r="B1229" s="3">
        <v>45235</v>
      </c>
      <c r="C1229">
        <v>24</v>
      </c>
      <c r="D1229" t="s">
        <v>27</v>
      </c>
      <c r="E1229">
        <v>70.099999999999994</v>
      </c>
      <c r="F1229">
        <v>165</v>
      </c>
      <c r="G1229" s="4">
        <f t="shared" si="38"/>
        <v>25.748393021120293</v>
      </c>
      <c r="H1229" t="s">
        <v>99</v>
      </c>
      <c r="I1229" t="s">
        <v>103</v>
      </c>
      <c r="J1229">
        <v>108</v>
      </c>
      <c r="K1229">
        <v>66</v>
      </c>
      <c r="L1229">
        <v>81</v>
      </c>
      <c r="M1229">
        <v>3</v>
      </c>
      <c r="N1229" s="5">
        <v>8951.7099999999991</v>
      </c>
      <c r="O1229" t="s">
        <v>51</v>
      </c>
      <c r="P1229" t="str">
        <f t="shared" si="39"/>
        <v>Hospital Central de Quelimane</v>
      </c>
      <c r="Q1229" t="s">
        <v>202</v>
      </c>
      <c r="R1229">
        <v>5</v>
      </c>
    </row>
    <row r="1230" spans="1:18" x14ac:dyDescent="0.45">
      <c r="A1230" t="s">
        <v>1315</v>
      </c>
      <c r="B1230" s="3">
        <v>45524</v>
      </c>
      <c r="C1230">
        <v>47</v>
      </c>
      <c r="D1230" t="s">
        <v>27</v>
      </c>
      <c r="E1230">
        <v>51</v>
      </c>
      <c r="F1230">
        <v>166</v>
      </c>
      <c r="G1230" s="4">
        <f t="shared" si="38"/>
        <v>18.507766003774133</v>
      </c>
      <c r="H1230" t="s">
        <v>91</v>
      </c>
      <c r="I1230" t="s">
        <v>131</v>
      </c>
      <c r="J1230">
        <v>125</v>
      </c>
      <c r="K1230">
        <v>85</v>
      </c>
      <c r="L1230">
        <v>93</v>
      </c>
      <c r="M1230">
        <v>4</v>
      </c>
      <c r="N1230" s="5">
        <v>7741.28</v>
      </c>
      <c r="O1230" t="s">
        <v>67</v>
      </c>
      <c r="P1230" t="str">
        <f t="shared" si="39"/>
        <v>Hospital Provincial de Pemba</v>
      </c>
      <c r="Q1230" t="s">
        <v>24</v>
      </c>
      <c r="R1230">
        <v>2</v>
      </c>
    </row>
    <row r="1231" spans="1:18" x14ac:dyDescent="0.45">
      <c r="A1231" t="s">
        <v>1316</v>
      </c>
      <c r="B1231" s="3">
        <v>45403</v>
      </c>
      <c r="C1231">
        <v>48</v>
      </c>
      <c r="D1231" t="s">
        <v>27</v>
      </c>
      <c r="E1231">
        <v>60.7</v>
      </c>
      <c r="F1231">
        <v>176.3</v>
      </c>
      <c r="G1231" s="4">
        <f t="shared" si="38"/>
        <v>19.529182615231022</v>
      </c>
      <c r="H1231" t="s">
        <v>46</v>
      </c>
      <c r="I1231" t="s">
        <v>47</v>
      </c>
      <c r="J1231">
        <v>117</v>
      </c>
      <c r="K1231">
        <v>78</v>
      </c>
      <c r="L1231">
        <v>82</v>
      </c>
      <c r="M1231">
        <v>1</v>
      </c>
      <c r="N1231" s="5">
        <v>2786.59</v>
      </c>
      <c r="O1231" t="s">
        <v>23</v>
      </c>
      <c r="P1231" t="str">
        <f t="shared" si="39"/>
        <v>Hospital Central de Maputo</v>
      </c>
      <c r="Q1231" t="s">
        <v>24</v>
      </c>
      <c r="R1231">
        <v>4</v>
      </c>
    </row>
    <row r="1232" spans="1:18" x14ac:dyDescent="0.45">
      <c r="A1232" t="s">
        <v>1317</v>
      </c>
      <c r="B1232" s="3">
        <v>45476</v>
      </c>
      <c r="C1232">
        <v>13</v>
      </c>
      <c r="D1232" t="s">
        <v>20</v>
      </c>
      <c r="E1232">
        <v>82.7</v>
      </c>
      <c r="F1232">
        <v>151.9</v>
      </c>
      <c r="G1232" s="4">
        <f t="shared" si="38"/>
        <v>35.841812356193934</v>
      </c>
      <c r="H1232" t="s">
        <v>28</v>
      </c>
      <c r="I1232" t="s">
        <v>73</v>
      </c>
      <c r="J1232">
        <v>104</v>
      </c>
      <c r="K1232">
        <v>63</v>
      </c>
      <c r="L1232">
        <v>65</v>
      </c>
      <c r="M1232">
        <v>8</v>
      </c>
      <c r="N1232" s="5">
        <v>14221.11</v>
      </c>
      <c r="O1232" t="s">
        <v>63</v>
      </c>
      <c r="P1232" t="str">
        <f t="shared" si="39"/>
        <v>Hospital Central de Nampula</v>
      </c>
      <c r="Q1232" t="s">
        <v>37</v>
      </c>
      <c r="R1232">
        <v>4</v>
      </c>
    </row>
    <row r="1233" spans="1:18" x14ac:dyDescent="0.45">
      <c r="A1233" t="s">
        <v>1318</v>
      </c>
      <c r="B1233" s="3">
        <v>45358</v>
      </c>
      <c r="C1233">
        <v>12</v>
      </c>
      <c r="D1233" t="s">
        <v>20</v>
      </c>
      <c r="E1233">
        <v>56.3</v>
      </c>
      <c r="F1233">
        <v>171.9</v>
      </c>
      <c r="G1233" s="4">
        <f t="shared" si="38"/>
        <v>19.052704925716444</v>
      </c>
      <c r="H1233" t="s">
        <v>28</v>
      </c>
      <c r="I1233" t="s">
        <v>29</v>
      </c>
      <c r="J1233">
        <v>103</v>
      </c>
      <c r="K1233">
        <v>70</v>
      </c>
      <c r="L1233">
        <v>116</v>
      </c>
      <c r="M1233">
        <v>2</v>
      </c>
      <c r="N1233" s="5">
        <v>8450.7099999999991</v>
      </c>
      <c r="O1233" t="s">
        <v>36</v>
      </c>
      <c r="P1233" t="str">
        <f t="shared" si="39"/>
        <v>Hospital Provincial de Lichinga</v>
      </c>
      <c r="Q1233" t="s">
        <v>24</v>
      </c>
      <c r="R1233">
        <v>2</v>
      </c>
    </row>
    <row r="1234" spans="1:18" x14ac:dyDescent="0.45">
      <c r="A1234" t="s">
        <v>1319</v>
      </c>
      <c r="B1234" s="3">
        <v>45225</v>
      </c>
      <c r="C1234">
        <v>42</v>
      </c>
      <c r="D1234" t="s">
        <v>20</v>
      </c>
      <c r="E1234">
        <v>67.3</v>
      </c>
      <c r="F1234">
        <v>171.8</v>
      </c>
      <c r="G1234" s="4">
        <f t="shared" si="38"/>
        <v>22.801779690763141</v>
      </c>
      <c r="H1234" t="s">
        <v>21</v>
      </c>
      <c r="I1234" t="s">
        <v>123</v>
      </c>
      <c r="J1234">
        <v>115</v>
      </c>
      <c r="K1234">
        <v>61</v>
      </c>
      <c r="L1234">
        <v>118</v>
      </c>
      <c r="M1234">
        <v>11</v>
      </c>
      <c r="N1234" s="5">
        <v>17485.060000000001</v>
      </c>
      <c r="O1234" t="s">
        <v>51</v>
      </c>
      <c r="P1234" t="str">
        <f t="shared" si="39"/>
        <v>Hospital Central de Quelimane</v>
      </c>
      <c r="Q1234" t="s">
        <v>24</v>
      </c>
      <c r="R1234">
        <v>3</v>
      </c>
    </row>
    <row r="1235" spans="1:18" x14ac:dyDescent="0.45">
      <c r="A1235" t="s">
        <v>1320</v>
      </c>
      <c r="B1235" s="3">
        <v>45260</v>
      </c>
      <c r="C1235">
        <v>8</v>
      </c>
      <c r="D1235" t="s">
        <v>20</v>
      </c>
      <c r="E1235">
        <v>20.9</v>
      </c>
      <c r="F1235">
        <v>88.3</v>
      </c>
      <c r="G1235" s="4">
        <f t="shared" si="38"/>
        <v>26.805559652630727</v>
      </c>
      <c r="H1235" t="s">
        <v>28</v>
      </c>
      <c r="I1235" t="s">
        <v>73</v>
      </c>
      <c r="J1235">
        <v>131</v>
      </c>
      <c r="K1235">
        <v>84</v>
      </c>
      <c r="L1235">
        <v>89</v>
      </c>
      <c r="M1235">
        <v>1</v>
      </c>
      <c r="N1235" s="5">
        <v>4992.24</v>
      </c>
      <c r="O1235" t="s">
        <v>38</v>
      </c>
      <c r="P1235" t="str">
        <f t="shared" si="39"/>
        <v>Hospital Provincial de Xai-Xai</v>
      </c>
      <c r="Q1235" t="s">
        <v>24</v>
      </c>
      <c r="R1235">
        <v>5</v>
      </c>
    </row>
    <row r="1236" spans="1:18" x14ac:dyDescent="0.45">
      <c r="A1236" t="s">
        <v>1321</v>
      </c>
      <c r="B1236" s="3">
        <v>44936</v>
      </c>
      <c r="C1236">
        <v>52</v>
      </c>
      <c r="D1236" t="s">
        <v>20</v>
      </c>
      <c r="E1236">
        <v>56.3</v>
      </c>
      <c r="F1236">
        <v>175.8</v>
      </c>
      <c r="G1236" s="4">
        <f t="shared" si="38"/>
        <v>18.216739727764899</v>
      </c>
      <c r="H1236" t="s">
        <v>21</v>
      </c>
      <c r="I1236" t="s">
        <v>89</v>
      </c>
      <c r="J1236">
        <v>127</v>
      </c>
      <c r="K1236">
        <v>82</v>
      </c>
      <c r="L1236">
        <v>78</v>
      </c>
      <c r="M1236">
        <v>1</v>
      </c>
      <c r="N1236" s="5">
        <v>5881.12</v>
      </c>
      <c r="O1236" t="s">
        <v>23</v>
      </c>
      <c r="P1236" t="str">
        <f t="shared" si="39"/>
        <v>Hospital Central de Maputo</v>
      </c>
      <c r="Q1236" t="s">
        <v>24</v>
      </c>
      <c r="R1236">
        <v>4</v>
      </c>
    </row>
    <row r="1237" spans="1:18" x14ac:dyDescent="0.45">
      <c r="A1237" t="s">
        <v>1322</v>
      </c>
      <c r="B1237" s="3">
        <v>45312</v>
      </c>
      <c r="C1237">
        <v>35</v>
      </c>
      <c r="D1237" t="s">
        <v>20</v>
      </c>
      <c r="E1237">
        <v>64.400000000000006</v>
      </c>
      <c r="F1237">
        <v>140</v>
      </c>
      <c r="G1237" s="4">
        <f t="shared" si="38"/>
        <v>32.857142857142861</v>
      </c>
      <c r="H1237" t="s">
        <v>46</v>
      </c>
      <c r="I1237" t="s">
        <v>66</v>
      </c>
      <c r="J1237">
        <v>119</v>
      </c>
      <c r="K1237">
        <v>81</v>
      </c>
      <c r="L1237">
        <v>90</v>
      </c>
      <c r="M1237">
        <v>3</v>
      </c>
      <c r="N1237" s="5">
        <v>11766.94</v>
      </c>
      <c r="O1237" t="s">
        <v>23</v>
      </c>
      <c r="P1237" t="str">
        <f t="shared" si="39"/>
        <v>Hospital Central de Maputo</v>
      </c>
      <c r="Q1237" t="s">
        <v>24</v>
      </c>
      <c r="R1237">
        <v>5</v>
      </c>
    </row>
    <row r="1238" spans="1:18" x14ac:dyDescent="0.45">
      <c r="A1238" t="s">
        <v>1323</v>
      </c>
      <c r="B1238" s="3">
        <v>44950</v>
      </c>
      <c r="C1238">
        <v>38</v>
      </c>
      <c r="D1238" t="s">
        <v>20</v>
      </c>
      <c r="E1238">
        <v>73</v>
      </c>
      <c r="F1238">
        <v>150.30000000000001</v>
      </c>
      <c r="G1238" s="4">
        <f t="shared" si="38"/>
        <v>32.315054964367114</v>
      </c>
      <c r="H1238" t="s">
        <v>91</v>
      </c>
      <c r="I1238" t="s">
        <v>110</v>
      </c>
      <c r="J1238">
        <v>125</v>
      </c>
      <c r="K1238">
        <v>86</v>
      </c>
      <c r="L1238">
        <v>77</v>
      </c>
      <c r="M1238">
        <v>3</v>
      </c>
      <c r="N1238" s="5">
        <v>9367.67</v>
      </c>
      <c r="O1238" t="s">
        <v>51</v>
      </c>
      <c r="P1238" t="str">
        <f t="shared" si="39"/>
        <v>Hospital Central de Quelimane</v>
      </c>
      <c r="Q1238" t="s">
        <v>24</v>
      </c>
      <c r="R1238">
        <v>4</v>
      </c>
    </row>
    <row r="1239" spans="1:18" x14ac:dyDescent="0.45">
      <c r="A1239" t="s">
        <v>1324</v>
      </c>
      <c r="B1239" s="3">
        <v>45324</v>
      </c>
      <c r="C1239">
        <v>36</v>
      </c>
      <c r="D1239" t="s">
        <v>20</v>
      </c>
      <c r="E1239">
        <v>86.5</v>
      </c>
      <c r="F1239">
        <v>155.4</v>
      </c>
      <c r="G1239" s="4">
        <f t="shared" si="38"/>
        <v>35.819051263066704</v>
      </c>
      <c r="H1239" t="s">
        <v>55</v>
      </c>
      <c r="I1239" t="s">
        <v>80</v>
      </c>
      <c r="J1239">
        <v>105</v>
      </c>
      <c r="K1239">
        <v>58</v>
      </c>
      <c r="L1239">
        <v>83</v>
      </c>
      <c r="M1239">
        <v>1</v>
      </c>
      <c r="N1239" s="5">
        <v>3720.42</v>
      </c>
      <c r="O1239" t="s">
        <v>67</v>
      </c>
      <c r="P1239" t="str">
        <f t="shared" si="39"/>
        <v>Hospital Provincial de Pemba</v>
      </c>
      <c r="Q1239" t="s">
        <v>37</v>
      </c>
      <c r="R1239">
        <v>5</v>
      </c>
    </row>
    <row r="1240" spans="1:18" x14ac:dyDescent="0.45">
      <c r="A1240" t="s">
        <v>1325</v>
      </c>
      <c r="B1240" s="3">
        <v>45454</v>
      </c>
      <c r="C1240">
        <v>38</v>
      </c>
      <c r="D1240" t="s">
        <v>27</v>
      </c>
      <c r="E1240">
        <v>62.5</v>
      </c>
      <c r="F1240">
        <v>167.5</v>
      </c>
      <c r="G1240" s="4">
        <f t="shared" si="38"/>
        <v>22.27667631989307</v>
      </c>
      <c r="H1240" t="s">
        <v>46</v>
      </c>
      <c r="I1240" t="s">
        <v>47</v>
      </c>
      <c r="J1240">
        <v>106</v>
      </c>
      <c r="K1240">
        <v>55</v>
      </c>
      <c r="L1240">
        <v>103</v>
      </c>
      <c r="M1240">
        <v>2</v>
      </c>
      <c r="N1240" s="5">
        <v>3078.4</v>
      </c>
      <c r="O1240" t="s">
        <v>57</v>
      </c>
      <c r="P1240" t="str">
        <f t="shared" si="39"/>
        <v>Hospital Provincial de Tete</v>
      </c>
      <c r="Q1240" t="s">
        <v>24</v>
      </c>
      <c r="R1240">
        <v>4</v>
      </c>
    </row>
    <row r="1241" spans="1:18" x14ac:dyDescent="0.45">
      <c r="A1241" t="s">
        <v>1326</v>
      </c>
      <c r="B1241" s="3">
        <v>45264</v>
      </c>
      <c r="C1241">
        <v>52</v>
      </c>
      <c r="D1241" t="s">
        <v>20</v>
      </c>
      <c r="E1241">
        <v>67.5</v>
      </c>
      <c r="F1241">
        <v>161.19999999999999</v>
      </c>
      <c r="G1241" s="4">
        <f t="shared" si="38"/>
        <v>25.976085069177206</v>
      </c>
      <c r="H1241" t="s">
        <v>46</v>
      </c>
      <c r="I1241" t="s">
        <v>47</v>
      </c>
      <c r="J1241">
        <v>129</v>
      </c>
      <c r="K1241">
        <v>80</v>
      </c>
      <c r="L1241">
        <v>88</v>
      </c>
      <c r="M1241">
        <v>1</v>
      </c>
      <c r="N1241" s="5">
        <v>2986.5</v>
      </c>
      <c r="O1241" t="s">
        <v>43</v>
      </c>
      <c r="P1241" t="str">
        <f t="shared" si="39"/>
        <v>Hospital Central da Beira</v>
      </c>
      <c r="Q1241" t="s">
        <v>24</v>
      </c>
      <c r="R1241">
        <v>4</v>
      </c>
    </row>
    <row r="1242" spans="1:18" x14ac:dyDescent="0.45">
      <c r="A1242" t="s">
        <v>1327</v>
      </c>
      <c r="B1242" s="3">
        <v>45515</v>
      </c>
      <c r="C1242">
        <v>8</v>
      </c>
      <c r="D1242" t="s">
        <v>27</v>
      </c>
      <c r="E1242">
        <v>26.3</v>
      </c>
      <c r="F1242">
        <v>92.6</v>
      </c>
      <c r="G1242" s="4">
        <f t="shared" si="38"/>
        <v>30.671412377722529</v>
      </c>
      <c r="H1242" t="s">
        <v>28</v>
      </c>
      <c r="I1242" t="s">
        <v>73</v>
      </c>
      <c r="J1242">
        <v>107</v>
      </c>
      <c r="K1242">
        <v>67</v>
      </c>
      <c r="L1242">
        <v>110</v>
      </c>
      <c r="M1242">
        <v>5</v>
      </c>
      <c r="N1242" s="5">
        <v>16605.96</v>
      </c>
      <c r="O1242" t="s">
        <v>52</v>
      </c>
      <c r="P1242" t="str">
        <f t="shared" si="39"/>
        <v>Hospital Provincial de Chimoio</v>
      </c>
      <c r="Q1242" t="s">
        <v>24</v>
      </c>
      <c r="R1242">
        <v>4</v>
      </c>
    </row>
    <row r="1243" spans="1:18" x14ac:dyDescent="0.45">
      <c r="A1243" t="s">
        <v>1328</v>
      </c>
      <c r="B1243" s="3">
        <v>45068</v>
      </c>
      <c r="C1243">
        <v>64</v>
      </c>
      <c r="D1243" t="s">
        <v>20</v>
      </c>
      <c r="E1243">
        <v>62.6</v>
      </c>
      <c r="F1243">
        <v>168</v>
      </c>
      <c r="G1243" s="4">
        <f t="shared" si="38"/>
        <v>22.179705215419506</v>
      </c>
      <c r="H1243" t="s">
        <v>41</v>
      </c>
      <c r="I1243" t="s">
        <v>42</v>
      </c>
      <c r="J1243">
        <v>130</v>
      </c>
      <c r="K1243">
        <v>78</v>
      </c>
      <c r="L1243">
        <v>71</v>
      </c>
      <c r="M1243">
        <v>1</v>
      </c>
      <c r="N1243" s="5">
        <v>3109.55</v>
      </c>
      <c r="O1243" t="s">
        <v>23</v>
      </c>
      <c r="P1243" t="str">
        <f t="shared" si="39"/>
        <v>Hospital Central de Maputo</v>
      </c>
      <c r="Q1243" t="s">
        <v>24</v>
      </c>
      <c r="R1243">
        <v>5</v>
      </c>
    </row>
    <row r="1244" spans="1:18" x14ac:dyDescent="0.45">
      <c r="A1244" t="s">
        <v>1329</v>
      </c>
      <c r="B1244" s="3">
        <v>45579</v>
      </c>
      <c r="C1244">
        <v>34</v>
      </c>
      <c r="D1244" t="s">
        <v>20</v>
      </c>
      <c r="E1244">
        <v>61.4</v>
      </c>
      <c r="F1244">
        <v>169.1</v>
      </c>
      <c r="G1244" s="4">
        <f t="shared" si="38"/>
        <v>21.472428038514686</v>
      </c>
      <c r="H1244" t="s">
        <v>91</v>
      </c>
      <c r="I1244" t="s">
        <v>110</v>
      </c>
      <c r="J1244">
        <v>115</v>
      </c>
      <c r="K1244">
        <v>71</v>
      </c>
      <c r="L1244">
        <v>86</v>
      </c>
      <c r="M1244">
        <v>1</v>
      </c>
      <c r="N1244" s="5">
        <v>6220.95</v>
      </c>
      <c r="O1244" t="s">
        <v>52</v>
      </c>
      <c r="P1244" t="str">
        <f t="shared" si="39"/>
        <v>Hospital Provincial de Chimoio</v>
      </c>
      <c r="Q1244" t="s">
        <v>24</v>
      </c>
      <c r="R1244">
        <v>4</v>
      </c>
    </row>
    <row r="1245" spans="1:18" x14ac:dyDescent="0.45">
      <c r="A1245" t="s">
        <v>1330</v>
      </c>
      <c r="B1245" s="3">
        <v>45630</v>
      </c>
      <c r="C1245">
        <v>47</v>
      </c>
      <c r="D1245" t="s">
        <v>27</v>
      </c>
      <c r="E1245">
        <v>32.299999999999997</v>
      </c>
      <c r="F1245">
        <v>168.5</v>
      </c>
      <c r="G1245" s="4">
        <f t="shared" si="38"/>
        <v>11.37634389666194</v>
      </c>
      <c r="H1245" t="s">
        <v>34</v>
      </c>
      <c r="I1245" t="s">
        <v>138</v>
      </c>
      <c r="J1245">
        <v>117</v>
      </c>
      <c r="K1245">
        <v>73</v>
      </c>
      <c r="L1245">
        <v>71</v>
      </c>
      <c r="M1245">
        <v>1</v>
      </c>
      <c r="N1245" s="5">
        <v>3013.34</v>
      </c>
      <c r="O1245" t="s">
        <v>31</v>
      </c>
      <c r="P1245" t="str">
        <f t="shared" si="39"/>
        <v>Hospital Provincial da Matola</v>
      </c>
      <c r="Q1245" t="s">
        <v>24</v>
      </c>
      <c r="R1245">
        <v>4</v>
      </c>
    </row>
    <row r="1246" spans="1:18" x14ac:dyDescent="0.45">
      <c r="A1246" t="s">
        <v>1331</v>
      </c>
      <c r="B1246" s="3">
        <v>44951</v>
      </c>
      <c r="C1246">
        <v>18</v>
      </c>
      <c r="D1246" t="s">
        <v>20</v>
      </c>
      <c r="E1246">
        <v>62.1</v>
      </c>
      <c r="F1246">
        <v>153.1</v>
      </c>
      <c r="G1246" s="4">
        <f t="shared" si="38"/>
        <v>26.493614868165473</v>
      </c>
      <c r="H1246" t="s">
        <v>21</v>
      </c>
      <c r="I1246" t="s">
        <v>70</v>
      </c>
      <c r="J1246">
        <v>126</v>
      </c>
      <c r="K1246">
        <v>79</v>
      </c>
      <c r="L1246">
        <v>97</v>
      </c>
      <c r="M1246">
        <v>16</v>
      </c>
      <c r="N1246" s="5">
        <v>21957.73</v>
      </c>
      <c r="O1246" t="s">
        <v>67</v>
      </c>
      <c r="P1246" t="str">
        <f t="shared" si="39"/>
        <v>Hospital Provincial de Pemba</v>
      </c>
      <c r="Q1246" t="s">
        <v>24</v>
      </c>
      <c r="R1246">
        <v>4</v>
      </c>
    </row>
    <row r="1247" spans="1:18" x14ac:dyDescent="0.45">
      <c r="A1247" t="s">
        <v>1332</v>
      </c>
      <c r="B1247" s="3">
        <v>45055</v>
      </c>
      <c r="C1247">
        <v>27</v>
      </c>
      <c r="D1247" t="s">
        <v>20</v>
      </c>
      <c r="E1247">
        <v>57.7</v>
      </c>
      <c r="F1247">
        <v>176.5</v>
      </c>
      <c r="G1247" s="4">
        <f t="shared" si="38"/>
        <v>18.521936617740295</v>
      </c>
      <c r="H1247" t="s">
        <v>46</v>
      </c>
      <c r="I1247" t="s">
        <v>108</v>
      </c>
      <c r="J1247">
        <v>130</v>
      </c>
      <c r="K1247">
        <v>81</v>
      </c>
      <c r="L1247">
        <v>74</v>
      </c>
      <c r="M1247">
        <v>12</v>
      </c>
      <c r="N1247" s="5">
        <v>34969.14</v>
      </c>
      <c r="O1247" t="s">
        <v>36</v>
      </c>
      <c r="P1247" t="str">
        <f t="shared" si="39"/>
        <v>Hospital Provincial de Lichinga</v>
      </c>
      <c r="Q1247" t="s">
        <v>24</v>
      </c>
      <c r="R1247">
        <v>4</v>
      </c>
    </row>
    <row r="1248" spans="1:18" x14ac:dyDescent="0.45">
      <c r="A1248" t="s">
        <v>1333</v>
      </c>
      <c r="B1248" s="3">
        <v>44974</v>
      </c>
      <c r="C1248">
        <v>43</v>
      </c>
      <c r="D1248" t="s">
        <v>27</v>
      </c>
      <c r="E1248">
        <v>62.3</v>
      </c>
      <c r="F1248">
        <v>172.3</v>
      </c>
      <c r="G1248" s="4">
        <f t="shared" si="38"/>
        <v>20.985411602069437</v>
      </c>
      <c r="H1248" t="s">
        <v>46</v>
      </c>
      <c r="I1248" t="s">
        <v>94</v>
      </c>
      <c r="J1248">
        <v>120</v>
      </c>
      <c r="K1248">
        <v>82</v>
      </c>
      <c r="L1248">
        <v>65</v>
      </c>
      <c r="M1248">
        <v>1</v>
      </c>
      <c r="N1248" s="5">
        <v>2436.11</v>
      </c>
      <c r="O1248" t="s">
        <v>30</v>
      </c>
      <c r="P1248" t="str">
        <f t="shared" si="39"/>
        <v>Hospital Provincial de Inhambane</v>
      </c>
      <c r="Q1248" t="s">
        <v>24</v>
      </c>
      <c r="R1248">
        <v>5</v>
      </c>
    </row>
    <row r="1249" spans="1:18" x14ac:dyDescent="0.45">
      <c r="A1249" t="s">
        <v>1334</v>
      </c>
      <c r="B1249" s="3">
        <v>45136</v>
      </c>
      <c r="C1249">
        <v>67</v>
      </c>
      <c r="D1249" t="s">
        <v>27</v>
      </c>
      <c r="E1249">
        <v>75.099999999999994</v>
      </c>
      <c r="F1249">
        <v>162.5</v>
      </c>
      <c r="G1249" s="4">
        <f t="shared" si="38"/>
        <v>28.440236686390531</v>
      </c>
      <c r="H1249" t="s">
        <v>41</v>
      </c>
      <c r="I1249" t="s">
        <v>113</v>
      </c>
      <c r="J1249">
        <v>156</v>
      </c>
      <c r="K1249">
        <v>96</v>
      </c>
      <c r="L1249">
        <v>114</v>
      </c>
      <c r="M1249">
        <v>1</v>
      </c>
      <c r="N1249" s="5">
        <v>2545.88</v>
      </c>
      <c r="O1249" t="s">
        <v>51</v>
      </c>
      <c r="P1249" t="str">
        <f t="shared" si="39"/>
        <v>Hospital Central de Quelimane</v>
      </c>
      <c r="Q1249" t="s">
        <v>37</v>
      </c>
      <c r="R1249">
        <v>4</v>
      </c>
    </row>
    <row r="1250" spans="1:18" x14ac:dyDescent="0.45">
      <c r="A1250" t="s">
        <v>1335</v>
      </c>
      <c r="B1250" s="3">
        <v>45114</v>
      </c>
      <c r="C1250">
        <v>37</v>
      </c>
      <c r="D1250" t="s">
        <v>27</v>
      </c>
      <c r="E1250">
        <v>62.6</v>
      </c>
      <c r="F1250">
        <v>145.6</v>
      </c>
      <c r="G1250" s="4">
        <f t="shared" si="38"/>
        <v>29.529193334138387</v>
      </c>
      <c r="H1250" t="s">
        <v>41</v>
      </c>
      <c r="I1250" t="s">
        <v>217</v>
      </c>
      <c r="J1250">
        <v>111</v>
      </c>
      <c r="K1250">
        <v>63</v>
      </c>
      <c r="L1250">
        <v>73</v>
      </c>
      <c r="M1250">
        <v>2</v>
      </c>
      <c r="N1250" s="5">
        <v>3505.22</v>
      </c>
      <c r="O1250" t="s">
        <v>36</v>
      </c>
      <c r="P1250" t="str">
        <f t="shared" si="39"/>
        <v>Hospital Provincial de Lichinga</v>
      </c>
      <c r="Q1250" t="s">
        <v>202</v>
      </c>
      <c r="R1250">
        <v>4</v>
      </c>
    </row>
    <row r="1251" spans="1:18" x14ac:dyDescent="0.45">
      <c r="A1251" t="s">
        <v>1336</v>
      </c>
      <c r="B1251" s="3">
        <v>45379</v>
      </c>
      <c r="C1251">
        <v>36</v>
      </c>
      <c r="D1251" t="s">
        <v>27</v>
      </c>
      <c r="E1251">
        <v>62.5</v>
      </c>
      <c r="F1251">
        <v>145.69999999999999</v>
      </c>
      <c r="G1251" s="4">
        <f t="shared" si="38"/>
        <v>29.44156649860636</v>
      </c>
      <c r="H1251" t="s">
        <v>99</v>
      </c>
      <c r="I1251" t="s">
        <v>100</v>
      </c>
      <c r="J1251">
        <v>116</v>
      </c>
      <c r="K1251">
        <v>67</v>
      </c>
      <c r="L1251">
        <v>82</v>
      </c>
      <c r="M1251">
        <v>1</v>
      </c>
      <c r="N1251" s="5">
        <v>2282.06</v>
      </c>
      <c r="O1251" t="s">
        <v>23</v>
      </c>
      <c r="P1251" t="str">
        <f t="shared" si="39"/>
        <v>Hospital Central de Maputo</v>
      </c>
      <c r="Q1251" t="s">
        <v>24</v>
      </c>
      <c r="R1251">
        <v>5</v>
      </c>
    </row>
    <row r="1252" spans="1:18" x14ac:dyDescent="0.45">
      <c r="A1252" t="s">
        <v>1337</v>
      </c>
      <c r="B1252" s="3">
        <v>45449</v>
      </c>
      <c r="C1252">
        <v>39</v>
      </c>
      <c r="D1252" t="s">
        <v>27</v>
      </c>
      <c r="E1252">
        <v>62.7</v>
      </c>
      <c r="F1252">
        <v>187.2</v>
      </c>
      <c r="G1252" s="4">
        <f t="shared" si="38"/>
        <v>17.891874863028711</v>
      </c>
      <c r="H1252" t="s">
        <v>41</v>
      </c>
      <c r="I1252" t="s">
        <v>161</v>
      </c>
      <c r="J1252">
        <v>122</v>
      </c>
      <c r="K1252">
        <v>79</v>
      </c>
      <c r="L1252">
        <v>88</v>
      </c>
      <c r="M1252">
        <v>1</v>
      </c>
      <c r="N1252" s="5">
        <v>5893.92</v>
      </c>
      <c r="O1252" t="s">
        <v>51</v>
      </c>
      <c r="P1252" t="str">
        <f t="shared" si="39"/>
        <v>Hospital Central de Quelimane</v>
      </c>
      <c r="Q1252" t="s">
        <v>24</v>
      </c>
      <c r="R1252">
        <v>5</v>
      </c>
    </row>
    <row r="1253" spans="1:18" x14ac:dyDescent="0.45">
      <c r="A1253" t="s">
        <v>1338</v>
      </c>
      <c r="B1253" s="3">
        <v>45081</v>
      </c>
      <c r="C1253">
        <v>49</v>
      </c>
      <c r="D1253" t="s">
        <v>20</v>
      </c>
      <c r="E1253">
        <v>50.4</v>
      </c>
      <c r="F1253">
        <v>169.8</v>
      </c>
      <c r="G1253" s="4">
        <f t="shared" si="38"/>
        <v>17.480552884915529</v>
      </c>
      <c r="H1253" t="s">
        <v>91</v>
      </c>
      <c r="I1253" t="s">
        <v>131</v>
      </c>
      <c r="J1253">
        <v>119</v>
      </c>
      <c r="K1253">
        <v>70</v>
      </c>
      <c r="L1253">
        <v>89</v>
      </c>
      <c r="M1253">
        <v>1</v>
      </c>
      <c r="N1253" s="5">
        <v>4561.2</v>
      </c>
      <c r="O1253" t="s">
        <v>63</v>
      </c>
      <c r="P1253" t="str">
        <f t="shared" si="39"/>
        <v>Hospital Central de Nampula</v>
      </c>
      <c r="Q1253" t="s">
        <v>24</v>
      </c>
      <c r="R1253">
        <v>2</v>
      </c>
    </row>
    <row r="1254" spans="1:18" x14ac:dyDescent="0.45">
      <c r="A1254" t="s">
        <v>1339</v>
      </c>
      <c r="B1254" s="3">
        <v>45053</v>
      </c>
      <c r="C1254">
        <v>67</v>
      </c>
      <c r="D1254" t="s">
        <v>20</v>
      </c>
      <c r="E1254">
        <v>49.1</v>
      </c>
      <c r="F1254">
        <v>164.7</v>
      </c>
      <c r="G1254" s="4">
        <f t="shared" si="38"/>
        <v>18.100655125747949</v>
      </c>
      <c r="H1254" t="s">
        <v>46</v>
      </c>
      <c r="I1254" t="s">
        <v>66</v>
      </c>
      <c r="J1254">
        <v>132</v>
      </c>
      <c r="K1254">
        <v>83</v>
      </c>
      <c r="L1254">
        <v>92</v>
      </c>
      <c r="M1254">
        <v>2</v>
      </c>
      <c r="N1254" s="5">
        <v>4856.75</v>
      </c>
      <c r="O1254" t="s">
        <v>57</v>
      </c>
      <c r="P1254" t="str">
        <f t="shared" si="39"/>
        <v>Hospital Provincial de Tete</v>
      </c>
      <c r="Q1254" t="s">
        <v>24</v>
      </c>
      <c r="R1254">
        <v>5</v>
      </c>
    </row>
    <row r="1255" spans="1:18" x14ac:dyDescent="0.45">
      <c r="A1255" t="s">
        <v>1340</v>
      </c>
      <c r="B1255" s="3">
        <v>45441</v>
      </c>
      <c r="C1255">
        <v>71</v>
      </c>
      <c r="D1255" t="s">
        <v>20</v>
      </c>
      <c r="E1255">
        <v>57.5</v>
      </c>
      <c r="F1255">
        <v>155</v>
      </c>
      <c r="G1255" s="4">
        <f t="shared" si="38"/>
        <v>23.933402705515086</v>
      </c>
      <c r="H1255" t="s">
        <v>46</v>
      </c>
      <c r="I1255" t="s">
        <v>108</v>
      </c>
      <c r="J1255">
        <v>140</v>
      </c>
      <c r="K1255">
        <v>87</v>
      </c>
      <c r="L1255">
        <v>91</v>
      </c>
      <c r="M1255">
        <v>1</v>
      </c>
      <c r="N1255" s="5">
        <v>2038.53</v>
      </c>
      <c r="O1255" t="s">
        <v>23</v>
      </c>
      <c r="P1255" t="str">
        <f t="shared" si="39"/>
        <v>Hospital Central de Maputo</v>
      </c>
      <c r="Q1255" t="s">
        <v>24</v>
      </c>
      <c r="R1255">
        <v>5</v>
      </c>
    </row>
    <row r="1256" spans="1:18" x14ac:dyDescent="0.45">
      <c r="A1256" t="s">
        <v>1341</v>
      </c>
      <c r="B1256" s="3">
        <v>45306</v>
      </c>
      <c r="C1256">
        <v>8</v>
      </c>
      <c r="D1256" t="s">
        <v>27</v>
      </c>
      <c r="E1256">
        <v>26.1</v>
      </c>
      <c r="F1256">
        <v>146.30000000000001</v>
      </c>
      <c r="G1256" s="4">
        <f t="shared" si="38"/>
        <v>12.194159044538582</v>
      </c>
      <c r="H1256" t="s">
        <v>28</v>
      </c>
      <c r="I1256" t="s">
        <v>29</v>
      </c>
      <c r="J1256">
        <v>95</v>
      </c>
      <c r="K1256">
        <v>60</v>
      </c>
      <c r="L1256">
        <v>79</v>
      </c>
      <c r="M1256">
        <v>2</v>
      </c>
      <c r="N1256" s="5">
        <v>6136.71</v>
      </c>
      <c r="O1256" t="s">
        <v>52</v>
      </c>
      <c r="P1256" t="str">
        <f t="shared" si="39"/>
        <v>Hospital Provincial de Chimoio</v>
      </c>
      <c r="Q1256" t="s">
        <v>24</v>
      </c>
      <c r="R1256">
        <v>5</v>
      </c>
    </row>
    <row r="1257" spans="1:18" x14ac:dyDescent="0.45">
      <c r="A1257" t="s">
        <v>1342</v>
      </c>
      <c r="B1257" s="3">
        <v>45435</v>
      </c>
      <c r="C1257">
        <v>33</v>
      </c>
      <c r="D1257" t="s">
        <v>20</v>
      </c>
      <c r="E1257">
        <v>67.900000000000006</v>
      </c>
      <c r="F1257">
        <v>144.9</v>
      </c>
      <c r="G1257" s="4">
        <f t="shared" si="38"/>
        <v>32.339477834121816</v>
      </c>
      <c r="H1257" t="s">
        <v>21</v>
      </c>
      <c r="I1257" t="s">
        <v>89</v>
      </c>
      <c r="J1257">
        <v>139</v>
      </c>
      <c r="K1257">
        <v>98</v>
      </c>
      <c r="L1257">
        <v>149</v>
      </c>
      <c r="M1257">
        <v>1</v>
      </c>
      <c r="N1257" s="5">
        <v>4575.1000000000004</v>
      </c>
      <c r="O1257" t="s">
        <v>57</v>
      </c>
      <c r="P1257" t="str">
        <f t="shared" si="39"/>
        <v>Hospital Provincial de Tete</v>
      </c>
      <c r="Q1257" t="s">
        <v>24</v>
      </c>
      <c r="R1257">
        <v>5</v>
      </c>
    </row>
    <row r="1258" spans="1:18" x14ac:dyDescent="0.45">
      <c r="A1258" t="s">
        <v>1343</v>
      </c>
      <c r="B1258" s="3">
        <v>45009</v>
      </c>
      <c r="C1258">
        <v>28</v>
      </c>
      <c r="D1258" t="s">
        <v>27</v>
      </c>
      <c r="E1258">
        <v>75.900000000000006</v>
      </c>
      <c r="F1258">
        <v>163.30000000000001</v>
      </c>
      <c r="G1258" s="4">
        <f t="shared" si="38"/>
        <v>28.462261628558863</v>
      </c>
      <c r="H1258" t="s">
        <v>99</v>
      </c>
      <c r="I1258" t="s">
        <v>151</v>
      </c>
      <c r="J1258">
        <v>104</v>
      </c>
      <c r="K1258">
        <v>66</v>
      </c>
      <c r="L1258">
        <v>94</v>
      </c>
      <c r="M1258">
        <v>4</v>
      </c>
      <c r="N1258" s="5">
        <v>12905.41</v>
      </c>
      <c r="O1258" t="s">
        <v>43</v>
      </c>
      <c r="P1258" t="str">
        <f t="shared" si="39"/>
        <v>Hospital Central da Beira</v>
      </c>
      <c r="Q1258" t="s">
        <v>24</v>
      </c>
      <c r="R1258">
        <v>4</v>
      </c>
    </row>
    <row r="1259" spans="1:18" x14ac:dyDescent="0.45">
      <c r="A1259" t="s">
        <v>1344</v>
      </c>
      <c r="B1259" s="3">
        <v>45034</v>
      </c>
      <c r="C1259">
        <v>40</v>
      </c>
      <c r="D1259" t="s">
        <v>27</v>
      </c>
      <c r="E1259">
        <v>57.3</v>
      </c>
      <c r="F1259">
        <v>185.1</v>
      </c>
      <c r="G1259" s="4">
        <f t="shared" si="38"/>
        <v>16.724062598779231</v>
      </c>
      <c r="H1259" t="s">
        <v>99</v>
      </c>
      <c r="I1259" t="s">
        <v>151</v>
      </c>
      <c r="J1259">
        <v>100</v>
      </c>
      <c r="K1259">
        <v>62</v>
      </c>
      <c r="L1259">
        <v>84</v>
      </c>
      <c r="M1259">
        <v>2</v>
      </c>
      <c r="N1259" s="5">
        <v>4862.05</v>
      </c>
      <c r="O1259" t="s">
        <v>63</v>
      </c>
      <c r="P1259" t="str">
        <f t="shared" si="39"/>
        <v>Hospital Central de Nampula</v>
      </c>
      <c r="Q1259" t="s">
        <v>24</v>
      </c>
      <c r="R1259">
        <v>5</v>
      </c>
    </row>
    <row r="1260" spans="1:18" x14ac:dyDescent="0.45">
      <c r="A1260" t="s">
        <v>1345</v>
      </c>
      <c r="B1260" s="3">
        <v>45263</v>
      </c>
      <c r="C1260">
        <v>33</v>
      </c>
      <c r="D1260" t="s">
        <v>27</v>
      </c>
      <c r="E1260">
        <v>58.1</v>
      </c>
      <c r="F1260">
        <v>160.4</v>
      </c>
      <c r="G1260" s="4">
        <f t="shared" si="38"/>
        <v>22.582260060571759</v>
      </c>
      <c r="H1260" t="s">
        <v>34</v>
      </c>
      <c r="I1260" t="s">
        <v>35</v>
      </c>
      <c r="J1260">
        <v>122</v>
      </c>
      <c r="K1260">
        <v>77</v>
      </c>
      <c r="L1260">
        <v>97</v>
      </c>
      <c r="M1260">
        <v>2</v>
      </c>
      <c r="N1260" s="5">
        <v>4804.05</v>
      </c>
      <c r="O1260" t="s">
        <v>63</v>
      </c>
      <c r="P1260" t="str">
        <f t="shared" si="39"/>
        <v>Hospital Central de Nampula</v>
      </c>
      <c r="Q1260" t="s">
        <v>24</v>
      </c>
      <c r="R1260">
        <v>5</v>
      </c>
    </row>
    <row r="1261" spans="1:18" x14ac:dyDescent="0.45">
      <c r="A1261" t="s">
        <v>1346</v>
      </c>
      <c r="B1261" s="3">
        <v>45409</v>
      </c>
      <c r="C1261">
        <v>33</v>
      </c>
      <c r="D1261" t="s">
        <v>20</v>
      </c>
      <c r="E1261">
        <v>35.6</v>
      </c>
      <c r="F1261">
        <v>161.19999999999999</v>
      </c>
      <c r="G1261" s="4">
        <f t="shared" si="38"/>
        <v>13.699979680929015</v>
      </c>
      <c r="H1261" t="s">
        <v>46</v>
      </c>
      <c r="I1261" t="s">
        <v>94</v>
      </c>
      <c r="J1261">
        <v>118</v>
      </c>
      <c r="K1261">
        <v>74</v>
      </c>
      <c r="L1261">
        <v>91</v>
      </c>
      <c r="M1261">
        <v>4</v>
      </c>
      <c r="N1261" s="5">
        <v>7130.09</v>
      </c>
      <c r="O1261" t="s">
        <v>36</v>
      </c>
      <c r="P1261" t="str">
        <f t="shared" si="39"/>
        <v>Hospital Provincial de Lichinga</v>
      </c>
      <c r="Q1261" t="s">
        <v>24</v>
      </c>
      <c r="R1261">
        <v>5</v>
      </c>
    </row>
    <row r="1262" spans="1:18" x14ac:dyDescent="0.45">
      <c r="A1262" t="s">
        <v>1347</v>
      </c>
      <c r="B1262" s="3">
        <v>45620</v>
      </c>
      <c r="C1262">
        <v>15</v>
      </c>
      <c r="D1262" t="s">
        <v>27</v>
      </c>
      <c r="E1262">
        <v>60.9</v>
      </c>
      <c r="F1262">
        <v>152.9</v>
      </c>
      <c r="G1262" s="4">
        <f t="shared" si="38"/>
        <v>26.049675747837423</v>
      </c>
      <c r="H1262" t="s">
        <v>28</v>
      </c>
      <c r="I1262" t="s">
        <v>29</v>
      </c>
      <c r="J1262">
        <v>107</v>
      </c>
      <c r="K1262">
        <v>64</v>
      </c>
      <c r="L1262">
        <v>104</v>
      </c>
      <c r="M1262">
        <v>1</v>
      </c>
      <c r="N1262" s="5">
        <v>4141.1499999999996</v>
      </c>
      <c r="O1262" t="s">
        <v>38</v>
      </c>
      <c r="P1262" t="str">
        <f t="shared" si="39"/>
        <v>Hospital Provincial de Xai-Xai</v>
      </c>
      <c r="Q1262" t="s">
        <v>24</v>
      </c>
      <c r="R1262">
        <v>5</v>
      </c>
    </row>
    <row r="1263" spans="1:18" x14ac:dyDescent="0.45">
      <c r="A1263" t="s">
        <v>1348</v>
      </c>
      <c r="B1263" s="3">
        <v>45489</v>
      </c>
      <c r="C1263">
        <v>22</v>
      </c>
      <c r="D1263" t="s">
        <v>27</v>
      </c>
      <c r="E1263">
        <v>53.5</v>
      </c>
      <c r="F1263">
        <v>170.1</v>
      </c>
      <c r="G1263" s="4">
        <f t="shared" si="38"/>
        <v>18.490350974510623</v>
      </c>
      <c r="H1263" t="s">
        <v>46</v>
      </c>
      <c r="I1263" t="s">
        <v>66</v>
      </c>
      <c r="J1263">
        <v>126</v>
      </c>
      <c r="K1263">
        <v>78</v>
      </c>
      <c r="L1263">
        <v>80</v>
      </c>
      <c r="M1263">
        <v>6</v>
      </c>
      <c r="N1263" s="5">
        <v>10579.01</v>
      </c>
      <c r="O1263" t="s">
        <v>36</v>
      </c>
      <c r="P1263" t="str">
        <f t="shared" si="39"/>
        <v>Hospital Provincial de Lichinga</v>
      </c>
      <c r="Q1263" t="s">
        <v>24</v>
      </c>
      <c r="R1263">
        <v>5</v>
      </c>
    </row>
    <row r="1264" spans="1:18" x14ac:dyDescent="0.45">
      <c r="A1264" t="s">
        <v>1349</v>
      </c>
      <c r="B1264" s="3">
        <v>45327</v>
      </c>
      <c r="C1264">
        <v>25</v>
      </c>
      <c r="D1264" t="s">
        <v>20</v>
      </c>
      <c r="E1264">
        <v>51.8</v>
      </c>
      <c r="F1264">
        <v>150.80000000000001</v>
      </c>
      <c r="G1264" s="4">
        <f t="shared" si="38"/>
        <v>22.778602537131757</v>
      </c>
      <c r="H1264" t="s">
        <v>46</v>
      </c>
      <c r="I1264" t="s">
        <v>66</v>
      </c>
      <c r="J1264">
        <v>87</v>
      </c>
      <c r="K1264">
        <v>55</v>
      </c>
      <c r="L1264">
        <v>86</v>
      </c>
      <c r="M1264">
        <v>1</v>
      </c>
      <c r="N1264" s="5">
        <v>5456.89</v>
      </c>
      <c r="O1264" t="s">
        <v>30</v>
      </c>
      <c r="P1264" t="str">
        <f t="shared" si="39"/>
        <v>Hospital Provincial de Inhambane</v>
      </c>
      <c r="Q1264" t="s">
        <v>24</v>
      </c>
      <c r="R1264">
        <v>4</v>
      </c>
    </row>
    <row r="1265" spans="1:18" x14ac:dyDescent="0.45">
      <c r="A1265" t="s">
        <v>1350</v>
      </c>
      <c r="B1265" s="3">
        <v>45178</v>
      </c>
      <c r="C1265">
        <v>63</v>
      </c>
      <c r="D1265" t="s">
        <v>27</v>
      </c>
      <c r="E1265">
        <v>66.099999999999994</v>
      </c>
      <c r="F1265">
        <v>165.6</v>
      </c>
      <c r="G1265" s="4">
        <f t="shared" si="38"/>
        <v>24.103538005554388</v>
      </c>
      <c r="H1265" t="s">
        <v>46</v>
      </c>
      <c r="I1265" t="s">
        <v>94</v>
      </c>
      <c r="J1265">
        <v>134</v>
      </c>
      <c r="K1265">
        <v>87</v>
      </c>
      <c r="L1265">
        <v>89</v>
      </c>
      <c r="M1265">
        <v>1</v>
      </c>
      <c r="N1265" s="5">
        <v>2634.69</v>
      </c>
      <c r="O1265" t="s">
        <v>31</v>
      </c>
      <c r="P1265" t="str">
        <f t="shared" si="39"/>
        <v>Hospital Provincial da Matola</v>
      </c>
      <c r="Q1265" t="s">
        <v>24</v>
      </c>
      <c r="R1265">
        <v>5</v>
      </c>
    </row>
    <row r="1266" spans="1:18" x14ac:dyDescent="0.45">
      <c r="A1266" t="s">
        <v>1351</v>
      </c>
      <c r="B1266" s="3">
        <v>45591</v>
      </c>
      <c r="C1266">
        <v>31</v>
      </c>
      <c r="D1266" t="s">
        <v>27</v>
      </c>
      <c r="E1266">
        <v>72.099999999999994</v>
      </c>
      <c r="F1266">
        <v>161.80000000000001</v>
      </c>
      <c r="G1266" s="4">
        <f t="shared" si="38"/>
        <v>27.540906458705443</v>
      </c>
      <c r="H1266" t="s">
        <v>99</v>
      </c>
      <c r="I1266" t="s">
        <v>103</v>
      </c>
      <c r="J1266">
        <v>112</v>
      </c>
      <c r="K1266">
        <v>66</v>
      </c>
      <c r="L1266">
        <v>76</v>
      </c>
      <c r="M1266">
        <v>1</v>
      </c>
      <c r="N1266" s="5">
        <v>3654</v>
      </c>
      <c r="O1266" t="s">
        <v>23</v>
      </c>
      <c r="P1266" t="str">
        <f t="shared" si="39"/>
        <v>Hospital Central de Maputo</v>
      </c>
      <c r="Q1266" t="s">
        <v>24</v>
      </c>
      <c r="R1266">
        <v>4</v>
      </c>
    </row>
    <row r="1267" spans="1:18" x14ac:dyDescent="0.45">
      <c r="A1267" t="s">
        <v>1352</v>
      </c>
      <c r="B1267" s="3">
        <v>45036</v>
      </c>
      <c r="C1267">
        <v>35</v>
      </c>
      <c r="D1267" t="s">
        <v>27</v>
      </c>
      <c r="E1267">
        <v>54.4</v>
      </c>
      <c r="F1267">
        <v>166.1</v>
      </c>
      <c r="G1267" s="4">
        <f t="shared" si="38"/>
        <v>19.717853465177146</v>
      </c>
      <c r="H1267" t="s">
        <v>55</v>
      </c>
      <c r="I1267" t="s">
        <v>80</v>
      </c>
      <c r="J1267">
        <v>114</v>
      </c>
      <c r="K1267">
        <v>74</v>
      </c>
      <c r="L1267">
        <v>84</v>
      </c>
      <c r="M1267">
        <v>2</v>
      </c>
      <c r="N1267" s="5">
        <v>8081.13</v>
      </c>
      <c r="O1267" t="s">
        <v>52</v>
      </c>
      <c r="P1267" t="str">
        <f t="shared" si="39"/>
        <v>Hospital Provincial de Chimoio</v>
      </c>
      <c r="Q1267" t="s">
        <v>24</v>
      </c>
      <c r="R1267">
        <v>3</v>
      </c>
    </row>
    <row r="1268" spans="1:18" x14ac:dyDescent="0.45">
      <c r="A1268" t="s">
        <v>1353</v>
      </c>
      <c r="B1268" s="3">
        <v>45657</v>
      </c>
      <c r="C1268">
        <v>10</v>
      </c>
      <c r="D1268" t="s">
        <v>20</v>
      </c>
      <c r="E1268">
        <v>22.4</v>
      </c>
      <c r="F1268">
        <v>111.8</v>
      </c>
      <c r="G1268" s="4">
        <f t="shared" si="38"/>
        <v>17.921089602247818</v>
      </c>
      <c r="H1268" t="s">
        <v>28</v>
      </c>
      <c r="I1268" t="s">
        <v>75</v>
      </c>
      <c r="J1268">
        <v>108</v>
      </c>
      <c r="K1268">
        <v>68</v>
      </c>
      <c r="L1268">
        <v>87</v>
      </c>
      <c r="M1268">
        <v>1</v>
      </c>
      <c r="N1268" s="5">
        <v>6077.88</v>
      </c>
      <c r="O1268" t="s">
        <v>43</v>
      </c>
      <c r="P1268" t="str">
        <f t="shared" si="39"/>
        <v>Hospital Central da Beira</v>
      </c>
      <c r="Q1268" t="s">
        <v>24</v>
      </c>
      <c r="R1268">
        <v>3</v>
      </c>
    </row>
    <row r="1269" spans="1:18" x14ac:dyDescent="0.45">
      <c r="A1269" t="s">
        <v>1354</v>
      </c>
      <c r="B1269" s="3">
        <v>45444</v>
      </c>
      <c r="C1269">
        <v>33</v>
      </c>
      <c r="D1269" t="s">
        <v>27</v>
      </c>
      <c r="E1269">
        <v>55.2</v>
      </c>
      <c r="F1269">
        <v>170.1</v>
      </c>
      <c r="G1269" s="4">
        <f t="shared" si="38"/>
        <v>19.077894837252082</v>
      </c>
      <c r="H1269" t="s">
        <v>99</v>
      </c>
      <c r="I1269" t="s">
        <v>151</v>
      </c>
      <c r="J1269">
        <v>131</v>
      </c>
      <c r="K1269">
        <v>83</v>
      </c>
      <c r="L1269">
        <v>81</v>
      </c>
      <c r="M1269">
        <v>5</v>
      </c>
      <c r="N1269" s="5">
        <v>18330.66</v>
      </c>
      <c r="O1269" t="s">
        <v>30</v>
      </c>
      <c r="P1269" t="str">
        <f t="shared" si="39"/>
        <v>Hospital Provincial de Inhambane</v>
      </c>
      <c r="Q1269" t="s">
        <v>24</v>
      </c>
      <c r="R1269">
        <v>3</v>
      </c>
    </row>
    <row r="1270" spans="1:18" x14ac:dyDescent="0.45">
      <c r="A1270" t="s">
        <v>1355</v>
      </c>
      <c r="B1270" s="3">
        <v>45308</v>
      </c>
      <c r="C1270">
        <v>30</v>
      </c>
      <c r="D1270" t="s">
        <v>27</v>
      </c>
      <c r="E1270">
        <v>74.400000000000006</v>
      </c>
      <c r="F1270">
        <v>168.9</v>
      </c>
      <c r="G1270" s="4">
        <f t="shared" si="38"/>
        <v>26.080363274221348</v>
      </c>
      <c r="H1270" t="s">
        <v>41</v>
      </c>
      <c r="I1270" t="s">
        <v>161</v>
      </c>
      <c r="J1270">
        <v>98</v>
      </c>
      <c r="K1270">
        <v>61</v>
      </c>
      <c r="L1270">
        <v>65</v>
      </c>
      <c r="M1270">
        <v>2</v>
      </c>
      <c r="N1270" s="5">
        <v>4632.97</v>
      </c>
      <c r="O1270" t="s">
        <v>31</v>
      </c>
      <c r="P1270" t="str">
        <f t="shared" si="39"/>
        <v>Hospital Provincial da Matola</v>
      </c>
      <c r="Q1270" t="s">
        <v>37</v>
      </c>
      <c r="R1270">
        <v>4</v>
      </c>
    </row>
    <row r="1271" spans="1:18" x14ac:dyDescent="0.45">
      <c r="A1271" t="s">
        <v>1356</v>
      </c>
      <c r="B1271" s="3">
        <v>45305</v>
      </c>
      <c r="C1271">
        <v>28</v>
      </c>
      <c r="D1271" t="s">
        <v>27</v>
      </c>
      <c r="E1271">
        <v>69.099999999999994</v>
      </c>
      <c r="F1271">
        <v>164.2</v>
      </c>
      <c r="G1271" s="4">
        <f t="shared" si="38"/>
        <v>25.62900476380517</v>
      </c>
      <c r="H1271" t="s">
        <v>41</v>
      </c>
      <c r="I1271" t="s">
        <v>42</v>
      </c>
      <c r="J1271">
        <v>113</v>
      </c>
      <c r="K1271">
        <v>67</v>
      </c>
      <c r="L1271">
        <v>90</v>
      </c>
      <c r="M1271">
        <v>2</v>
      </c>
      <c r="N1271" s="5">
        <v>4154.76</v>
      </c>
      <c r="O1271" t="s">
        <v>38</v>
      </c>
      <c r="P1271" t="str">
        <f t="shared" si="39"/>
        <v>Hospital Provincial de Xai-Xai</v>
      </c>
      <c r="Q1271" t="s">
        <v>24</v>
      </c>
      <c r="R1271">
        <v>4</v>
      </c>
    </row>
    <row r="1272" spans="1:18" x14ac:dyDescent="0.45">
      <c r="A1272" t="s">
        <v>1357</v>
      </c>
      <c r="B1272" s="3">
        <v>45583</v>
      </c>
      <c r="C1272">
        <v>35</v>
      </c>
      <c r="D1272" t="s">
        <v>20</v>
      </c>
      <c r="E1272">
        <v>50.2</v>
      </c>
      <c r="F1272">
        <v>156.80000000000001</v>
      </c>
      <c r="G1272" s="4">
        <f t="shared" si="38"/>
        <v>20.417924822990418</v>
      </c>
      <c r="H1272" t="s">
        <v>41</v>
      </c>
      <c r="I1272" t="s">
        <v>161</v>
      </c>
      <c r="J1272">
        <v>144</v>
      </c>
      <c r="K1272">
        <v>79</v>
      </c>
      <c r="L1272">
        <v>83</v>
      </c>
      <c r="M1272">
        <v>8</v>
      </c>
      <c r="N1272" s="5">
        <v>13481.7</v>
      </c>
      <c r="O1272" t="s">
        <v>38</v>
      </c>
      <c r="P1272" t="str">
        <f t="shared" si="39"/>
        <v>Hospital Provincial de Xai-Xai</v>
      </c>
      <c r="Q1272" t="s">
        <v>37</v>
      </c>
      <c r="R1272">
        <v>5</v>
      </c>
    </row>
    <row r="1273" spans="1:18" x14ac:dyDescent="0.45">
      <c r="A1273" t="s">
        <v>1358</v>
      </c>
      <c r="B1273" s="3">
        <v>45614</v>
      </c>
      <c r="C1273">
        <v>43</v>
      </c>
      <c r="D1273" t="s">
        <v>20</v>
      </c>
      <c r="E1273">
        <v>65.5</v>
      </c>
      <c r="F1273">
        <v>167.7</v>
      </c>
      <c r="G1273" s="4">
        <f t="shared" si="38"/>
        <v>23.290304939429213</v>
      </c>
      <c r="H1273" t="s">
        <v>91</v>
      </c>
      <c r="I1273" t="s">
        <v>116</v>
      </c>
      <c r="J1273">
        <v>105</v>
      </c>
      <c r="K1273">
        <v>55</v>
      </c>
      <c r="L1273">
        <v>81</v>
      </c>
      <c r="M1273">
        <v>8</v>
      </c>
      <c r="N1273" s="5">
        <v>12821.43</v>
      </c>
      <c r="O1273" t="s">
        <v>38</v>
      </c>
      <c r="P1273" t="str">
        <f t="shared" si="39"/>
        <v>Hospital Provincial de Xai-Xai</v>
      </c>
      <c r="Q1273" t="s">
        <v>24</v>
      </c>
      <c r="R1273">
        <v>4</v>
      </c>
    </row>
    <row r="1274" spans="1:18" x14ac:dyDescent="0.45">
      <c r="A1274" t="s">
        <v>1359</v>
      </c>
      <c r="B1274" s="3">
        <v>45183</v>
      </c>
      <c r="C1274">
        <v>28</v>
      </c>
      <c r="D1274" t="s">
        <v>20</v>
      </c>
      <c r="E1274">
        <v>81.900000000000006</v>
      </c>
      <c r="F1274">
        <v>155.80000000000001</v>
      </c>
      <c r="G1274" s="4">
        <f t="shared" si="38"/>
        <v>33.740304297171747</v>
      </c>
      <c r="H1274" t="s">
        <v>21</v>
      </c>
      <c r="I1274" t="s">
        <v>70</v>
      </c>
      <c r="J1274">
        <v>133</v>
      </c>
      <c r="K1274">
        <v>88</v>
      </c>
      <c r="L1274">
        <v>77</v>
      </c>
      <c r="M1274">
        <v>11</v>
      </c>
      <c r="N1274" s="5">
        <v>17468.939999999999</v>
      </c>
      <c r="O1274" t="s">
        <v>67</v>
      </c>
      <c r="P1274" t="str">
        <f t="shared" si="39"/>
        <v>Hospital Provincial de Pemba</v>
      </c>
      <c r="Q1274" t="s">
        <v>24</v>
      </c>
      <c r="R1274">
        <v>4</v>
      </c>
    </row>
    <row r="1275" spans="1:18" x14ac:dyDescent="0.45">
      <c r="A1275" t="s">
        <v>1360</v>
      </c>
      <c r="B1275" s="3">
        <v>45293</v>
      </c>
      <c r="C1275">
        <v>16</v>
      </c>
      <c r="D1275" t="s">
        <v>20</v>
      </c>
      <c r="E1275">
        <v>41.5</v>
      </c>
      <c r="F1275">
        <v>160</v>
      </c>
      <c r="G1275" s="4">
        <f t="shared" si="38"/>
        <v>16.210937499999996</v>
      </c>
      <c r="H1275" t="s">
        <v>28</v>
      </c>
      <c r="I1275" t="s">
        <v>73</v>
      </c>
      <c r="J1275">
        <v>96</v>
      </c>
      <c r="K1275">
        <v>55</v>
      </c>
      <c r="L1275">
        <v>85</v>
      </c>
      <c r="M1275">
        <v>1</v>
      </c>
      <c r="N1275" s="5">
        <v>5234.88</v>
      </c>
      <c r="O1275" t="s">
        <v>43</v>
      </c>
      <c r="P1275" t="str">
        <f t="shared" si="39"/>
        <v>Hospital Central da Beira</v>
      </c>
      <c r="Q1275" t="s">
        <v>24</v>
      </c>
      <c r="R1275">
        <v>3</v>
      </c>
    </row>
    <row r="1276" spans="1:18" x14ac:dyDescent="0.45">
      <c r="A1276" t="s">
        <v>1361</v>
      </c>
      <c r="B1276" s="3">
        <v>45637</v>
      </c>
      <c r="C1276">
        <v>34</v>
      </c>
      <c r="D1276" t="s">
        <v>27</v>
      </c>
      <c r="E1276">
        <v>75.099999999999994</v>
      </c>
      <c r="F1276">
        <v>162.5</v>
      </c>
      <c r="G1276" s="4">
        <f t="shared" si="38"/>
        <v>28.440236686390531</v>
      </c>
      <c r="H1276" t="s">
        <v>46</v>
      </c>
      <c r="I1276" t="s">
        <v>94</v>
      </c>
      <c r="J1276">
        <v>128</v>
      </c>
      <c r="K1276">
        <v>80</v>
      </c>
      <c r="L1276">
        <v>105</v>
      </c>
      <c r="M1276">
        <v>2</v>
      </c>
      <c r="N1276" s="5">
        <v>7358.3</v>
      </c>
      <c r="O1276" t="s">
        <v>67</v>
      </c>
      <c r="P1276" t="str">
        <f t="shared" si="39"/>
        <v>Hospital Provincial de Pemba</v>
      </c>
      <c r="Q1276" t="s">
        <v>24</v>
      </c>
      <c r="R1276">
        <v>5</v>
      </c>
    </row>
    <row r="1277" spans="1:18" x14ac:dyDescent="0.45">
      <c r="A1277" t="s">
        <v>1362</v>
      </c>
      <c r="B1277" s="3">
        <v>45366</v>
      </c>
      <c r="C1277">
        <v>18</v>
      </c>
      <c r="D1277" t="s">
        <v>27</v>
      </c>
      <c r="E1277">
        <v>80.400000000000006</v>
      </c>
      <c r="F1277">
        <v>167.7</v>
      </c>
      <c r="G1277" s="4">
        <f t="shared" si="38"/>
        <v>28.588404841681051</v>
      </c>
      <c r="H1277" t="s">
        <v>46</v>
      </c>
      <c r="I1277" t="s">
        <v>108</v>
      </c>
      <c r="J1277">
        <v>101</v>
      </c>
      <c r="K1277">
        <v>68</v>
      </c>
      <c r="L1277">
        <v>86</v>
      </c>
      <c r="M1277">
        <v>8</v>
      </c>
      <c r="N1277" s="5">
        <v>18047.43</v>
      </c>
      <c r="O1277" t="s">
        <v>38</v>
      </c>
      <c r="P1277" t="str">
        <f t="shared" si="39"/>
        <v>Hospital Provincial de Xai-Xai</v>
      </c>
      <c r="Q1277" t="s">
        <v>24</v>
      </c>
      <c r="R1277">
        <v>2</v>
      </c>
    </row>
    <row r="1278" spans="1:18" x14ac:dyDescent="0.45">
      <c r="A1278" t="s">
        <v>1363</v>
      </c>
      <c r="B1278" s="3">
        <v>45648</v>
      </c>
      <c r="C1278">
        <v>16</v>
      </c>
      <c r="D1278" t="s">
        <v>20</v>
      </c>
      <c r="E1278">
        <v>68.599999999999994</v>
      </c>
      <c r="F1278">
        <v>152.4</v>
      </c>
      <c r="G1278" s="4">
        <f t="shared" si="38"/>
        <v>29.536170183451475</v>
      </c>
      <c r="H1278" t="s">
        <v>28</v>
      </c>
      <c r="I1278" t="s">
        <v>50</v>
      </c>
      <c r="J1278">
        <v>112</v>
      </c>
      <c r="K1278">
        <v>70</v>
      </c>
      <c r="L1278">
        <v>105</v>
      </c>
      <c r="M1278">
        <v>7</v>
      </c>
      <c r="N1278" s="5">
        <v>14871.96</v>
      </c>
      <c r="O1278" t="s">
        <v>23</v>
      </c>
      <c r="P1278" t="str">
        <f t="shared" si="39"/>
        <v>Hospital Central de Maputo</v>
      </c>
      <c r="Q1278" t="s">
        <v>24</v>
      </c>
      <c r="R1278">
        <v>5</v>
      </c>
    </row>
    <row r="1279" spans="1:18" x14ac:dyDescent="0.45">
      <c r="A1279" t="s">
        <v>1364</v>
      </c>
      <c r="B1279" s="3">
        <v>45077</v>
      </c>
      <c r="C1279">
        <v>40</v>
      </c>
      <c r="D1279" t="s">
        <v>27</v>
      </c>
      <c r="E1279">
        <v>55.9</v>
      </c>
      <c r="F1279">
        <v>145.9</v>
      </c>
      <c r="G1279" s="4">
        <f t="shared" si="38"/>
        <v>26.260393173049412</v>
      </c>
      <c r="H1279" t="s">
        <v>21</v>
      </c>
      <c r="I1279" t="s">
        <v>123</v>
      </c>
      <c r="J1279">
        <v>104</v>
      </c>
      <c r="K1279">
        <v>55</v>
      </c>
      <c r="L1279">
        <v>65</v>
      </c>
      <c r="M1279">
        <v>1</v>
      </c>
      <c r="N1279" s="5">
        <v>4294.34</v>
      </c>
      <c r="O1279" t="s">
        <v>31</v>
      </c>
      <c r="P1279" t="str">
        <f t="shared" si="39"/>
        <v>Hospital Provincial da Matola</v>
      </c>
      <c r="Q1279" t="s">
        <v>37</v>
      </c>
      <c r="R1279">
        <v>4</v>
      </c>
    </row>
    <row r="1280" spans="1:18" x14ac:dyDescent="0.45">
      <c r="A1280" t="s">
        <v>1365</v>
      </c>
      <c r="B1280" s="3">
        <v>45222</v>
      </c>
      <c r="C1280">
        <v>18</v>
      </c>
      <c r="D1280" t="s">
        <v>27</v>
      </c>
      <c r="E1280">
        <v>43.9</v>
      </c>
      <c r="F1280">
        <v>169.5</v>
      </c>
      <c r="G1280" s="4">
        <f t="shared" si="38"/>
        <v>15.280061955604284</v>
      </c>
      <c r="H1280" t="s">
        <v>99</v>
      </c>
      <c r="I1280" t="s">
        <v>105</v>
      </c>
      <c r="J1280">
        <v>127</v>
      </c>
      <c r="K1280">
        <v>86</v>
      </c>
      <c r="L1280">
        <v>65</v>
      </c>
      <c r="M1280">
        <v>1</v>
      </c>
      <c r="N1280" s="5">
        <v>5344.44</v>
      </c>
      <c r="O1280" t="s">
        <v>31</v>
      </c>
      <c r="P1280" t="str">
        <f t="shared" si="39"/>
        <v>Hospital Provincial da Matola</v>
      </c>
      <c r="Q1280" t="s">
        <v>37</v>
      </c>
      <c r="R1280">
        <v>5</v>
      </c>
    </row>
    <row r="1281" spans="1:18" x14ac:dyDescent="0.45">
      <c r="A1281" t="s">
        <v>1366</v>
      </c>
      <c r="B1281" s="3">
        <v>45509</v>
      </c>
      <c r="C1281">
        <v>51</v>
      </c>
      <c r="D1281" t="s">
        <v>20</v>
      </c>
      <c r="E1281">
        <v>61.4</v>
      </c>
      <c r="F1281">
        <v>162.1</v>
      </c>
      <c r="G1281" s="4">
        <f t="shared" si="38"/>
        <v>23.366966796453546</v>
      </c>
      <c r="H1281" t="s">
        <v>21</v>
      </c>
      <c r="I1281" t="s">
        <v>89</v>
      </c>
      <c r="J1281">
        <v>167</v>
      </c>
      <c r="K1281">
        <v>110</v>
      </c>
      <c r="L1281">
        <v>99</v>
      </c>
      <c r="M1281">
        <v>8</v>
      </c>
      <c r="N1281" s="5">
        <v>18829.580000000002</v>
      </c>
      <c r="O1281" t="s">
        <v>51</v>
      </c>
      <c r="P1281" t="str">
        <f t="shared" si="39"/>
        <v>Hospital Central de Quelimane</v>
      </c>
      <c r="Q1281" t="s">
        <v>202</v>
      </c>
      <c r="R1281">
        <v>5</v>
      </c>
    </row>
    <row r="1282" spans="1:18" x14ac:dyDescent="0.45">
      <c r="A1282" t="s">
        <v>1367</v>
      </c>
      <c r="B1282" s="3">
        <v>45009</v>
      </c>
      <c r="C1282">
        <v>18</v>
      </c>
      <c r="D1282" t="s">
        <v>27</v>
      </c>
      <c r="E1282">
        <v>52.7</v>
      </c>
      <c r="F1282">
        <v>168.2</v>
      </c>
      <c r="G1282" s="4">
        <f t="shared" ref="G1282:G1345" si="40">E1282/((F1282/100)^2)</f>
        <v>18.627674149312654</v>
      </c>
      <c r="H1282" t="s">
        <v>34</v>
      </c>
      <c r="I1282" t="s">
        <v>126</v>
      </c>
      <c r="J1282">
        <v>85</v>
      </c>
      <c r="K1282">
        <v>55</v>
      </c>
      <c r="L1282">
        <v>99</v>
      </c>
      <c r="M1282">
        <v>1</v>
      </c>
      <c r="N1282" s="5">
        <v>3989.77</v>
      </c>
      <c r="O1282" t="s">
        <v>67</v>
      </c>
      <c r="P1282" t="str">
        <f t="shared" ref="P1282:P1345" si="41">INDEX($U$2:$U$12,MATCH(O1282,$T$2:$T$12,0))</f>
        <v>Hospital Provincial de Pemba</v>
      </c>
      <c r="Q1282" t="s">
        <v>24</v>
      </c>
      <c r="R1282">
        <v>3</v>
      </c>
    </row>
    <row r="1283" spans="1:18" x14ac:dyDescent="0.45">
      <c r="A1283" t="s">
        <v>1368</v>
      </c>
      <c r="B1283" s="3">
        <v>45042</v>
      </c>
      <c r="C1283">
        <v>8</v>
      </c>
      <c r="D1283" t="s">
        <v>27</v>
      </c>
      <c r="E1283">
        <v>27</v>
      </c>
      <c r="F1283">
        <v>88.7</v>
      </c>
      <c r="G1283" s="4">
        <f t="shared" si="40"/>
        <v>34.317569705974684</v>
      </c>
      <c r="H1283" t="s">
        <v>28</v>
      </c>
      <c r="I1283" t="s">
        <v>73</v>
      </c>
      <c r="J1283">
        <v>89</v>
      </c>
      <c r="K1283">
        <v>55</v>
      </c>
      <c r="L1283">
        <v>91</v>
      </c>
      <c r="M1283">
        <v>2</v>
      </c>
      <c r="N1283" s="5">
        <v>7482.63</v>
      </c>
      <c r="O1283" t="s">
        <v>31</v>
      </c>
      <c r="P1283" t="str">
        <f t="shared" si="41"/>
        <v>Hospital Provincial da Matola</v>
      </c>
      <c r="Q1283" t="s">
        <v>24</v>
      </c>
      <c r="R1283">
        <v>5</v>
      </c>
    </row>
    <row r="1284" spans="1:18" x14ac:dyDescent="0.45">
      <c r="A1284" t="s">
        <v>1369</v>
      </c>
      <c r="B1284" s="3">
        <v>45490</v>
      </c>
      <c r="C1284">
        <v>36</v>
      </c>
      <c r="D1284" t="s">
        <v>27</v>
      </c>
      <c r="E1284">
        <v>55.5</v>
      </c>
      <c r="F1284">
        <v>162.5</v>
      </c>
      <c r="G1284" s="4">
        <f t="shared" si="40"/>
        <v>21.017751479289942</v>
      </c>
      <c r="H1284" t="s">
        <v>21</v>
      </c>
      <c r="I1284" t="s">
        <v>70</v>
      </c>
      <c r="J1284">
        <v>107</v>
      </c>
      <c r="K1284">
        <v>67</v>
      </c>
      <c r="L1284">
        <v>100</v>
      </c>
      <c r="M1284">
        <v>7</v>
      </c>
      <c r="N1284" s="5">
        <v>11252.09</v>
      </c>
      <c r="O1284" t="s">
        <v>63</v>
      </c>
      <c r="P1284" t="str">
        <f t="shared" si="41"/>
        <v>Hospital Central de Nampula</v>
      </c>
      <c r="Q1284" t="s">
        <v>24</v>
      </c>
      <c r="R1284">
        <v>4</v>
      </c>
    </row>
    <row r="1285" spans="1:18" x14ac:dyDescent="0.45">
      <c r="A1285" t="s">
        <v>1370</v>
      </c>
      <c r="B1285" s="3">
        <v>45232</v>
      </c>
      <c r="C1285">
        <v>27</v>
      </c>
      <c r="D1285" t="s">
        <v>27</v>
      </c>
      <c r="E1285">
        <v>51.1</v>
      </c>
      <c r="F1285">
        <v>161.1</v>
      </c>
      <c r="G1285" s="4">
        <f t="shared" si="40"/>
        <v>19.689279283757195</v>
      </c>
      <c r="H1285" t="s">
        <v>21</v>
      </c>
      <c r="I1285" t="s">
        <v>89</v>
      </c>
      <c r="J1285">
        <v>122</v>
      </c>
      <c r="K1285">
        <v>66</v>
      </c>
      <c r="L1285">
        <v>78</v>
      </c>
      <c r="M1285">
        <v>4</v>
      </c>
      <c r="N1285" s="5">
        <v>8111.03</v>
      </c>
      <c r="O1285" t="s">
        <v>43</v>
      </c>
      <c r="P1285" t="str">
        <f t="shared" si="41"/>
        <v>Hospital Central da Beira</v>
      </c>
      <c r="Q1285" t="s">
        <v>24</v>
      </c>
      <c r="R1285">
        <v>4</v>
      </c>
    </row>
    <row r="1286" spans="1:18" x14ac:dyDescent="0.45">
      <c r="A1286" t="s">
        <v>1371</v>
      </c>
      <c r="B1286" s="3">
        <v>45309</v>
      </c>
      <c r="C1286">
        <v>40</v>
      </c>
      <c r="D1286" t="s">
        <v>20</v>
      </c>
      <c r="E1286">
        <v>63.5</v>
      </c>
      <c r="F1286">
        <v>151.69999999999999</v>
      </c>
      <c r="G1286" s="4">
        <f t="shared" si="40"/>
        <v>27.593231445507282</v>
      </c>
      <c r="H1286" t="s">
        <v>41</v>
      </c>
      <c r="I1286" t="s">
        <v>217</v>
      </c>
      <c r="J1286">
        <v>115</v>
      </c>
      <c r="K1286">
        <v>71</v>
      </c>
      <c r="L1286">
        <v>89</v>
      </c>
      <c r="M1286">
        <v>5</v>
      </c>
      <c r="N1286" s="5">
        <v>14901.88</v>
      </c>
      <c r="O1286" t="s">
        <v>23</v>
      </c>
      <c r="P1286" t="str">
        <f t="shared" si="41"/>
        <v>Hospital Central de Maputo</v>
      </c>
      <c r="Q1286" t="s">
        <v>24</v>
      </c>
      <c r="R1286">
        <v>5</v>
      </c>
    </row>
    <row r="1287" spans="1:18" x14ac:dyDescent="0.45">
      <c r="A1287" t="s">
        <v>1372</v>
      </c>
      <c r="B1287" s="3">
        <v>45032</v>
      </c>
      <c r="C1287">
        <v>18</v>
      </c>
      <c r="D1287" t="s">
        <v>20</v>
      </c>
      <c r="E1287">
        <v>68.400000000000006</v>
      </c>
      <c r="F1287">
        <v>164.4</v>
      </c>
      <c r="G1287" s="4">
        <f t="shared" si="40"/>
        <v>25.307688209281263</v>
      </c>
      <c r="H1287" t="s">
        <v>55</v>
      </c>
      <c r="I1287" t="s">
        <v>197</v>
      </c>
      <c r="J1287">
        <v>91</v>
      </c>
      <c r="K1287">
        <v>64</v>
      </c>
      <c r="L1287">
        <v>77</v>
      </c>
      <c r="M1287">
        <v>3</v>
      </c>
      <c r="N1287" s="5">
        <v>8409.36</v>
      </c>
      <c r="O1287" t="s">
        <v>67</v>
      </c>
      <c r="P1287" t="str">
        <f t="shared" si="41"/>
        <v>Hospital Provincial de Pemba</v>
      </c>
      <c r="Q1287" t="s">
        <v>24</v>
      </c>
      <c r="R1287">
        <v>3</v>
      </c>
    </row>
    <row r="1288" spans="1:18" x14ac:dyDescent="0.45">
      <c r="A1288" t="s">
        <v>1373</v>
      </c>
      <c r="B1288" s="3">
        <v>45087</v>
      </c>
      <c r="C1288">
        <v>67</v>
      </c>
      <c r="D1288" t="s">
        <v>27</v>
      </c>
      <c r="E1288">
        <v>65.3</v>
      </c>
      <c r="F1288">
        <v>163.30000000000001</v>
      </c>
      <c r="G1288" s="4">
        <f t="shared" si="40"/>
        <v>24.487294918905054</v>
      </c>
      <c r="H1288" t="s">
        <v>34</v>
      </c>
      <c r="I1288" t="s">
        <v>138</v>
      </c>
      <c r="J1288">
        <v>132</v>
      </c>
      <c r="K1288">
        <v>86</v>
      </c>
      <c r="L1288">
        <v>124</v>
      </c>
      <c r="M1288">
        <v>9</v>
      </c>
      <c r="N1288" s="5">
        <v>26437.53</v>
      </c>
      <c r="O1288" t="s">
        <v>36</v>
      </c>
      <c r="P1288" t="str">
        <f t="shared" si="41"/>
        <v>Hospital Provincial de Lichinga</v>
      </c>
      <c r="Q1288" t="s">
        <v>24</v>
      </c>
      <c r="R1288">
        <v>5</v>
      </c>
    </row>
    <row r="1289" spans="1:18" x14ac:dyDescent="0.45">
      <c r="A1289" t="s">
        <v>1374</v>
      </c>
      <c r="B1289" s="3">
        <v>45158</v>
      </c>
      <c r="C1289">
        <v>1</v>
      </c>
      <c r="D1289" t="s">
        <v>27</v>
      </c>
      <c r="E1289">
        <v>32.1</v>
      </c>
      <c r="F1289">
        <v>116.1</v>
      </c>
      <c r="G1289" s="4">
        <f t="shared" si="40"/>
        <v>23.814452033909998</v>
      </c>
      <c r="H1289" t="s">
        <v>28</v>
      </c>
      <c r="I1289" t="s">
        <v>75</v>
      </c>
      <c r="J1289">
        <v>87</v>
      </c>
      <c r="K1289">
        <v>58</v>
      </c>
      <c r="L1289">
        <v>65</v>
      </c>
      <c r="M1289">
        <v>1</v>
      </c>
      <c r="N1289" s="5">
        <v>5235.47</v>
      </c>
      <c r="O1289" t="s">
        <v>51</v>
      </c>
      <c r="P1289" t="str">
        <f t="shared" si="41"/>
        <v>Hospital Central de Quelimane</v>
      </c>
      <c r="Q1289" t="s">
        <v>24</v>
      </c>
      <c r="R1289">
        <v>5</v>
      </c>
    </row>
    <row r="1290" spans="1:18" x14ac:dyDescent="0.45">
      <c r="A1290" t="s">
        <v>1375</v>
      </c>
      <c r="B1290" s="3">
        <v>45228</v>
      </c>
      <c r="C1290">
        <v>47</v>
      </c>
      <c r="D1290" t="s">
        <v>20</v>
      </c>
      <c r="E1290">
        <v>65.099999999999994</v>
      </c>
      <c r="F1290">
        <v>171.1</v>
      </c>
      <c r="G1290" s="4">
        <f t="shared" si="40"/>
        <v>22.237244412593455</v>
      </c>
      <c r="H1290" t="s">
        <v>91</v>
      </c>
      <c r="I1290" t="s">
        <v>92</v>
      </c>
      <c r="J1290">
        <v>116</v>
      </c>
      <c r="K1290">
        <v>62</v>
      </c>
      <c r="L1290">
        <v>79</v>
      </c>
      <c r="M1290">
        <v>34</v>
      </c>
      <c r="N1290" s="5">
        <v>49616.04</v>
      </c>
      <c r="O1290" t="s">
        <v>36</v>
      </c>
      <c r="P1290" t="str">
        <f t="shared" si="41"/>
        <v>Hospital Provincial de Lichinga</v>
      </c>
      <c r="Q1290" t="s">
        <v>24</v>
      </c>
      <c r="R1290">
        <v>3</v>
      </c>
    </row>
    <row r="1291" spans="1:18" x14ac:dyDescent="0.45">
      <c r="A1291" t="s">
        <v>1376</v>
      </c>
      <c r="B1291" s="3">
        <v>45092</v>
      </c>
      <c r="C1291">
        <v>26</v>
      </c>
      <c r="D1291" t="s">
        <v>20</v>
      </c>
      <c r="E1291">
        <v>77.8</v>
      </c>
      <c r="F1291">
        <v>173.5</v>
      </c>
      <c r="G1291" s="4">
        <f t="shared" si="40"/>
        <v>25.84524412626963</v>
      </c>
      <c r="H1291" t="s">
        <v>41</v>
      </c>
      <c r="I1291" t="s">
        <v>42</v>
      </c>
      <c r="J1291">
        <v>101</v>
      </c>
      <c r="K1291">
        <v>55</v>
      </c>
      <c r="L1291">
        <v>65</v>
      </c>
      <c r="M1291">
        <v>1</v>
      </c>
      <c r="N1291" s="5">
        <v>3597.15</v>
      </c>
      <c r="O1291" t="s">
        <v>31</v>
      </c>
      <c r="P1291" t="str">
        <f t="shared" si="41"/>
        <v>Hospital Provincial da Matola</v>
      </c>
      <c r="Q1291" t="s">
        <v>24</v>
      </c>
      <c r="R1291">
        <v>4</v>
      </c>
    </row>
    <row r="1292" spans="1:18" x14ac:dyDescent="0.45">
      <c r="A1292" t="s">
        <v>1377</v>
      </c>
      <c r="B1292" s="3">
        <v>45307</v>
      </c>
      <c r="C1292">
        <v>0</v>
      </c>
      <c r="D1292" t="s">
        <v>27</v>
      </c>
      <c r="E1292">
        <v>39.700000000000003</v>
      </c>
      <c r="F1292">
        <v>122.1</v>
      </c>
      <c r="G1292" s="4">
        <f t="shared" si="40"/>
        <v>26.629264958503295</v>
      </c>
      <c r="H1292" t="s">
        <v>28</v>
      </c>
      <c r="I1292" t="s">
        <v>73</v>
      </c>
      <c r="J1292">
        <v>99</v>
      </c>
      <c r="K1292">
        <v>64</v>
      </c>
      <c r="L1292">
        <v>91</v>
      </c>
      <c r="M1292">
        <v>3</v>
      </c>
      <c r="N1292" s="5">
        <v>10614.59</v>
      </c>
      <c r="O1292" t="s">
        <v>31</v>
      </c>
      <c r="P1292" t="str">
        <f t="shared" si="41"/>
        <v>Hospital Provincial da Matola</v>
      </c>
      <c r="Q1292" t="s">
        <v>24</v>
      </c>
      <c r="R1292">
        <v>5</v>
      </c>
    </row>
    <row r="1293" spans="1:18" x14ac:dyDescent="0.45">
      <c r="A1293" t="s">
        <v>1378</v>
      </c>
      <c r="B1293" s="3">
        <v>45029</v>
      </c>
      <c r="C1293">
        <v>55</v>
      </c>
      <c r="D1293" t="s">
        <v>27</v>
      </c>
      <c r="E1293">
        <v>73.099999999999994</v>
      </c>
      <c r="F1293">
        <v>169.5</v>
      </c>
      <c r="G1293" s="4">
        <f t="shared" si="40"/>
        <v>25.443565579833098</v>
      </c>
      <c r="H1293" t="s">
        <v>91</v>
      </c>
      <c r="I1293" t="s">
        <v>131</v>
      </c>
      <c r="J1293">
        <v>134</v>
      </c>
      <c r="K1293">
        <v>81</v>
      </c>
      <c r="L1293">
        <v>112</v>
      </c>
      <c r="M1293">
        <v>3</v>
      </c>
      <c r="N1293" s="5">
        <v>7238.22</v>
      </c>
      <c r="O1293" t="s">
        <v>63</v>
      </c>
      <c r="P1293" t="str">
        <f t="shared" si="41"/>
        <v>Hospital Central de Nampula</v>
      </c>
      <c r="Q1293" t="s">
        <v>24</v>
      </c>
      <c r="R1293">
        <v>1</v>
      </c>
    </row>
    <row r="1294" spans="1:18" x14ac:dyDescent="0.45">
      <c r="A1294" t="s">
        <v>1379</v>
      </c>
      <c r="B1294" s="3">
        <v>45562</v>
      </c>
      <c r="C1294">
        <v>65</v>
      </c>
      <c r="D1294" t="s">
        <v>27</v>
      </c>
      <c r="E1294">
        <v>66.599999999999994</v>
      </c>
      <c r="F1294">
        <v>174.5</v>
      </c>
      <c r="G1294" s="4">
        <f t="shared" si="40"/>
        <v>21.871741611316814</v>
      </c>
      <c r="H1294" t="s">
        <v>21</v>
      </c>
      <c r="I1294" t="s">
        <v>70</v>
      </c>
      <c r="J1294">
        <v>136</v>
      </c>
      <c r="K1294">
        <v>92</v>
      </c>
      <c r="L1294">
        <v>88</v>
      </c>
      <c r="M1294">
        <v>8</v>
      </c>
      <c r="N1294" s="5">
        <v>13369.13</v>
      </c>
      <c r="O1294" t="s">
        <v>51</v>
      </c>
      <c r="P1294" t="str">
        <f t="shared" si="41"/>
        <v>Hospital Central de Quelimane</v>
      </c>
      <c r="Q1294" t="s">
        <v>24</v>
      </c>
      <c r="R1294">
        <v>4</v>
      </c>
    </row>
    <row r="1295" spans="1:18" x14ac:dyDescent="0.45">
      <c r="A1295" t="s">
        <v>1380</v>
      </c>
      <c r="B1295" s="3">
        <v>45266</v>
      </c>
      <c r="C1295">
        <v>35</v>
      </c>
      <c r="D1295" t="s">
        <v>27</v>
      </c>
      <c r="E1295">
        <v>83</v>
      </c>
      <c r="F1295">
        <v>161.1</v>
      </c>
      <c r="G1295" s="4">
        <f t="shared" si="40"/>
        <v>31.980629756396226</v>
      </c>
      <c r="H1295" t="s">
        <v>21</v>
      </c>
      <c r="I1295" t="s">
        <v>22</v>
      </c>
      <c r="J1295">
        <v>149</v>
      </c>
      <c r="K1295">
        <v>98</v>
      </c>
      <c r="L1295">
        <v>99</v>
      </c>
      <c r="M1295">
        <v>7</v>
      </c>
      <c r="N1295" s="5">
        <v>16599.55</v>
      </c>
      <c r="O1295" t="s">
        <v>67</v>
      </c>
      <c r="P1295" t="str">
        <f t="shared" si="41"/>
        <v>Hospital Provincial de Pemba</v>
      </c>
      <c r="Q1295" t="s">
        <v>24</v>
      </c>
      <c r="R1295">
        <v>3</v>
      </c>
    </row>
    <row r="1296" spans="1:18" x14ac:dyDescent="0.45">
      <c r="A1296" t="s">
        <v>1381</v>
      </c>
      <c r="B1296" s="3">
        <v>45404</v>
      </c>
      <c r="C1296">
        <v>45</v>
      </c>
      <c r="D1296" t="s">
        <v>20</v>
      </c>
      <c r="E1296">
        <v>58.7</v>
      </c>
      <c r="F1296">
        <v>166.3</v>
      </c>
      <c r="G1296" s="4">
        <f t="shared" si="40"/>
        <v>21.225288539175843</v>
      </c>
      <c r="H1296" t="s">
        <v>91</v>
      </c>
      <c r="I1296" t="s">
        <v>116</v>
      </c>
      <c r="J1296">
        <v>130</v>
      </c>
      <c r="K1296">
        <v>84</v>
      </c>
      <c r="L1296">
        <v>86</v>
      </c>
      <c r="M1296">
        <v>6</v>
      </c>
      <c r="N1296" s="5">
        <v>13322.93</v>
      </c>
      <c r="O1296" t="s">
        <v>63</v>
      </c>
      <c r="P1296" t="str">
        <f t="shared" si="41"/>
        <v>Hospital Central de Nampula</v>
      </c>
      <c r="Q1296" t="s">
        <v>24</v>
      </c>
      <c r="R1296">
        <v>5</v>
      </c>
    </row>
    <row r="1297" spans="1:18" x14ac:dyDescent="0.45">
      <c r="A1297" t="s">
        <v>1382</v>
      </c>
      <c r="B1297" s="3">
        <v>44934</v>
      </c>
      <c r="C1297">
        <v>25</v>
      </c>
      <c r="D1297" t="s">
        <v>27</v>
      </c>
      <c r="E1297">
        <v>64.599999999999994</v>
      </c>
      <c r="F1297">
        <v>153.4</v>
      </c>
      <c r="G1297" s="4">
        <f t="shared" si="40"/>
        <v>27.452493587335471</v>
      </c>
      <c r="H1297" t="s">
        <v>46</v>
      </c>
      <c r="I1297" t="s">
        <v>66</v>
      </c>
      <c r="J1297">
        <v>94</v>
      </c>
      <c r="K1297">
        <v>55</v>
      </c>
      <c r="L1297">
        <v>92</v>
      </c>
      <c r="M1297">
        <v>1</v>
      </c>
      <c r="N1297" s="5">
        <v>3719.02</v>
      </c>
      <c r="O1297" t="s">
        <v>52</v>
      </c>
      <c r="P1297" t="str">
        <f t="shared" si="41"/>
        <v>Hospital Provincial de Chimoio</v>
      </c>
      <c r="Q1297" t="s">
        <v>24</v>
      </c>
      <c r="R1297">
        <v>4</v>
      </c>
    </row>
    <row r="1298" spans="1:18" x14ac:dyDescent="0.45">
      <c r="A1298" t="s">
        <v>1383</v>
      </c>
      <c r="B1298" s="3">
        <v>45559</v>
      </c>
      <c r="C1298">
        <v>14</v>
      </c>
      <c r="D1298" t="s">
        <v>20</v>
      </c>
      <c r="E1298">
        <v>73.3</v>
      </c>
      <c r="F1298">
        <v>168.8</v>
      </c>
      <c r="G1298" s="4">
        <f t="shared" si="40"/>
        <v>25.725219559309082</v>
      </c>
      <c r="H1298" t="s">
        <v>28</v>
      </c>
      <c r="I1298" t="s">
        <v>50</v>
      </c>
      <c r="J1298">
        <v>103</v>
      </c>
      <c r="K1298">
        <v>67</v>
      </c>
      <c r="L1298">
        <v>76</v>
      </c>
      <c r="M1298">
        <v>2</v>
      </c>
      <c r="N1298" s="5">
        <v>8287.43</v>
      </c>
      <c r="O1298" t="s">
        <v>52</v>
      </c>
      <c r="P1298" t="str">
        <f t="shared" si="41"/>
        <v>Hospital Provincial de Chimoio</v>
      </c>
      <c r="Q1298" t="s">
        <v>37</v>
      </c>
      <c r="R1298">
        <v>4</v>
      </c>
    </row>
    <row r="1299" spans="1:18" x14ac:dyDescent="0.45">
      <c r="A1299" t="s">
        <v>1384</v>
      </c>
      <c r="B1299" s="3">
        <v>45255</v>
      </c>
      <c r="C1299">
        <v>20</v>
      </c>
      <c r="D1299" t="s">
        <v>27</v>
      </c>
      <c r="E1299">
        <v>78.2</v>
      </c>
      <c r="F1299">
        <v>164.3</v>
      </c>
      <c r="G1299" s="4">
        <f t="shared" si="40"/>
        <v>28.968874759256426</v>
      </c>
      <c r="H1299" t="s">
        <v>46</v>
      </c>
      <c r="I1299" t="s">
        <v>94</v>
      </c>
      <c r="J1299">
        <v>109</v>
      </c>
      <c r="K1299">
        <v>65</v>
      </c>
      <c r="L1299">
        <v>93</v>
      </c>
      <c r="M1299">
        <v>3</v>
      </c>
      <c r="N1299" s="5">
        <v>5407.09</v>
      </c>
      <c r="O1299" t="s">
        <v>31</v>
      </c>
      <c r="P1299" t="str">
        <f t="shared" si="41"/>
        <v>Hospital Provincial da Matola</v>
      </c>
      <c r="Q1299" t="s">
        <v>37</v>
      </c>
      <c r="R1299">
        <v>5</v>
      </c>
    </row>
    <row r="1300" spans="1:18" x14ac:dyDescent="0.45">
      <c r="A1300" t="s">
        <v>1385</v>
      </c>
      <c r="B1300" s="3">
        <v>45309</v>
      </c>
      <c r="C1300">
        <v>21</v>
      </c>
      <c r="D1300" t="s">
        <v>20</v>
      </c>
      <c r="E1300">
        <v>68.5</v>
      </c>
      <c r="F1300">
        <v>170.2</v>
      </c>
      <c r="G1300" s="4">
        <f t="shared" si="40"/>
        <v>23.646750004487703</v>
      </c>
      <c r="H1300" t="s">
        <v>46</v>
      </c>
      <c r="I1300" t="s">
        <v>94</v>
      </c>
      <c r="J1300">
        <v>118</v>
      </c>
      <c r="K1300">
        <v>73</v>
      </c>
      <c r="L1300">
        <v>65</v>
      </c>
      <c r="M1300">
        <v>1</v>
      </c>
      <c r="N1300" s="5">
        <v>6225.23</v>
      </c>
      <c r="O1300" t="s">
        <v>43</v>
      </c>
      <c r="P1300" t="str">
        <f t="shared" si="41"/>
        <v>Hospital Central da Beira</v>
      </c>
      <c r="Q1300" t="s">
        <v>24</v>
      </c>
      <c r="R1300">
        <v>5</v>
      </c>
    </row>
    <row r="1301" spans="1:18" x14ac:dyDescent="0.45">
      <c r="A1301" t="s">
        <v>1386</v>
      </c>
      <c r="B1301" s="3">
        <v>45384</v>
      </c>
      <c r="C1301">
        <v>48</v>
      </c>
      <c r="D1301" t="s">
        <v>20</v>
      </c>
      <c r="E1301">
        <v>60.8</v>
      </c>
      <c r="F1301">
        <v>177.1</v>
      </c>
      <c r="G1301" s="4">
        <f t="shared" si="40"/>
        <v>19.385029082326117</v>
      </c>
      <c r="H1301" t="s">
        <v>55</v>
      </c>
      <c r="I1301" t="s">
        <v>197</v>
      </c>
      <c r="J1301">
        <v>115</v>
      </c>
      <c r="K1301">
        <v>81</v>
      </c>
      <c r="L1301">
        <v>80</v>
      </c>
      <c r="M1301">
        <v>1</v>
      </c>
      <c r="N1301" s="5">
        <v>4520.28</v>
      </c>
      <c r="O1301" t="s">
        <v>57</v>
      </c>
      <c r="P1301" t="str">
        <f t="shared" si="41"/>
        <v>Hospital Provincial de Tete</v>
      </c>
      <c r="Q1301" t="s">
        <v>24</v>
      </c>
      <c r="R1301">
        <v>5</v>
      </c>
    </row>
    <row r="1302" spans="1:18" x14ac:dyDescent="0.45">
      <c r="A1302" t="s">
        <v>1387</v>
      </c>
      <c r="B1302" s="3">
        <v>45547</v>
      </c>
      <c r="C1302">
        <v>47</v>
      </c>
      <c r="D1302" t="s">
        <v>27</v>
      </c>
      <c r="E1302">
        <v>63.8</v>
      </c>
      <c r="F1302">
        <v>154.5</v>
      </c>
      <c r="G1302" s="4">
        <f t="shared" si="40"/>
        <v>26.727830667881566</v>
      </c>
      <c r="H1302" t="s">
        <v>91</v>
      </c>
      <c r="I1302" t="s">
        <v>110</v>
      </c>
      <c r="J1302">
        <v>118</v>
      </c>
      <c r="K1302">
        <v>84</v>
      </c>
      <c r="L1302">
        <v>72</v>
      </c>
      <c r="M1302">
        <v>7</v>
      </c>
      <c r="N1302" s="5">
        <v>9547.32</v>
      </c>
      <c r="O1302" t="s">
        <v>43</v>
      </c>
      <c r="P1302" t="str">
        <f t="shared" si="41"/>
        <v>Hospital Central da Beira</v>
      </c>
      <c r="Q1302" t="s">
        <v>24</v>
      </c>
      <c r="R1302">
        <v>4</v>
      </c>
    </row>
    <row r="1303" spans="1:18" x14ac:dyDescent="0.45">
      <c r="A1303" t="s">
        <v>1388</v>
      </c>
      <c r="B1303" s="3">
        <v>45218</v>
      </c>
      <c r="C1303">
        <v>38</v>
      </c>
      <c r="D1303" t="s">
        <v>20</v>
      </c>
      <c r="E1303">
        <v>56</v>
      </c>
      <c r="F1303">
        <v>166.5</v>
      </c>
      <c r="G1303" s="4">
        <f t="shared" si="40"/>
        <v>20.200380560740921</v>
      </c>
      <c r="H1303" t="s">
        <v>21</v>
      </c>
      <c r="I1303" t="s">
        <v>22</v>
      </c>
      <c r="J1303">
        <v>136</v>
      </c>
      <c r="K1303">
        <v>84</v>
      </c>
      <c r="L1303">
        <v>67</v>
      </c>
      <c r="M1303">
        <v>1</v>
      </c>
      <c r="N1303" s="5">
        <v>4461.4399999999996</v>
      </c>
      <c r="O1303" t="s">
        <v>23</v>
      </c>
      <c r="P1303" t="str">
        <f t="shared" si="41"/>
        <v>Hospital Central de Maputo</v>
      </c>
      <c r="Q1303" t="s">
        <v>202</v>
      </c>
      <c r="R1303">
        <v>3</v>
      </c>
    </row>
    <row r="1304" spans="1:18" x14ac:dyDescent="0.45">
      <c r="A1304" t="s">
        <v>1389</v>
      </c>
      <c r="B1304" s="3">
        <v>44932</v>
      </c>
      <c r="C1304">
        <v>58</v>
      </c>
      <c r="D1304" t="s">
        <v>20</v>
      </c>
      <c r="E1304">
        <v>60.7</v>
      </c>
      <c r="F1304">
        <v>164.5</v>
      </c>
      <c r="G1304" s="4">
        <f t="shared" si="40"/>
        <v>22.43142616938129</v>
      </c>
      <c r="H1304" t="s">
        <v>91</v>
      </c>
      <c r="I1304" t="s">
        <v>131</v>
      </c>
      <c r="J1304">
        <v>123</v>
      </c>
      <c r="K1304">
        <v>71</v>
      </c>
      <c r="L1304">
        <v>102</v>
      </c>
      <c r="M1304">
        <v>10</v>
      </c>
      <c r="N1304" s="5">
        <v>29388.29</v>
      </c>
      <c r="O1304" t="s">
        <v>23</v>
      </c>
      <c r="P1304" t="str">
        <f t="shared" si="41"/>
        <v>Hospital Central de Maputo</v>
      </c>
      <c r="Q1304" t="s">
        <v>76</v>
      </c>
      <c r="R1304">
        <v>5</v>
      </c>
    </row>
    <row r="1305" spans="1:18" x14ac:dyDescent="0.45">
      <c r="A1305" t="s">
        <v>1390</v>
      </c>
      <c r="B1305" s="3">
        <v>45327</v>
      </c>
      <c r="C1305">
        <v>16</v>
      </c>
      <c r="D1305" t="s">
        <v>27</v>
      </c>
      <c r="E1305">
        <v>65</v>
      </c>
      <c r="F1305">
        <v>174.7</v>
      </c>
      <c r="G1305" s="4">
        <f t="shared" si="40"/>
        <v>21.297447025877055</v>
      </c>
      <c r="H1305" t="s">
        <v>28</v>
      </c>
      <c r="I1305" t="s">
        <v>50</v>
      </c>
      <c r="J1305">
        <v>107</v>
      </c>
      <c r="K1305">
        <v>70</v>
      </c>
      <c r="L1305">
        <v>86</v>
      </c>
      <c r="M1305">
        <v>6</v>
      </c>
      <c r="N1305" s="5">
        <v>17752.59</v>
      </c>
      <c r="O1305" t="s">
        <v>51</v>
      </c>
      <c r="P1305" t="str">
        <f t="shared" si="41"/>
        <v>Hospital Central de Quelimane</v>
      </c>
      <c r="Q1305" t="s">
        <v>24</v>
      </c>
      <c r="R1305">
        <v>5</v>
      </c>
    </row>
    <row r="1306" spans="1:18" x14ac:dyDescent="0.45">
      <c r="A1306" t="s">
        <v>1391</v>
      </c>
      <c r="B1306" s="3">
        <v>45129</v>
      </c>
      <c r="C1306">
        <v>45</v>
      </c>
      <c r="D1306" t="s">
        <v>27</v>
      </c>
      <c r="E1306">
        <v>69.2</v>
      </c>
      <c r="F1306">
        <v>162.19999999999999</v>
      </c>
      <c r="G1306" s="4">
        <f t="shared" si="40"/>
        <v>26.302946082001341</v>
      </c>
      <c r="H1306" t="s">
        <v>21</v>
      </c>
      <c r="I1306" t="s">
        <v>123</v>
      </c>
      <c r="J1306">
        <v>112</v>
      </c>
      <c r="K1306">
        <v>70</v>
      </c>
      <c r="L1306">
        <v>93</v>
      </c>
      <c r="M1306">
        <v>1</v>
      </c>
      <c r="N1306" s="5">
        <v>4461.72</v>
      </c>
      <c r="O1306" t="s">
        <v>67</v>
      </c>
      <c r="P1306" t="str">
        <f t="shared" si="41"/>
        <v>Hospital Provincial de Pemba</v>
      </c>
      <c r="Q1306" t="s">
        <v>24</v>
      </c>
      <c r="R1306">
        <v>3</v>
      </c>
    </row>
    <row r="1307" spans="1:18" x14ac:dyDescent="0.45">
      <c r="A1307" t="s">
        <v>1392</v>
      </c>
      <c r="B1307" s="3">
        <v>45408</v>
      </c>
      <c r="C1307">
        <v>45</v>
      </c>
      <c r="D1307" t="s">
        <v>27</v>
      </c>
      <c r="E1307">
        <v>56.3</v>
      </c>
      <c r="F1307">
        <v>181.2</v>
      </c>
      <c r="G1307" s="4">
        <f t="shared" si="40"/>
        <v>17.147152415342408</v>
      </c>
      <c r="H1307" t="s">
        <v>41</v>
      </c>
      <c r="I1307" t="s">
        <v>161</v>
      </c>
      <c r="J1307">
        <v>118</v>
      </c>
      <c r="K1307">
        <v>66</v>
      </c>
      <c r="L1307">
        <v>79</v>
      </c>
      <c r="M1307">
        <v>3</v>
      </c>
      <c r="N1307" s="5">
        <v>7563.92</v>
      </c>
      <c r="O1307" t="s">
        <v>63</v>
      </c>
      <c r="P1307" t="str">
        <f t="shared" si="41"/>
        <v>Hospital Central de Nampula</v>
      </c>
      <c r="Q1307" t="s">
        <v>37</v>
      </c>
      <c r="R1307">
        <v>5</v>
      </c>
    </row>
    <row r="1308" spans="1:18" x14ac:dyDescent="0.45">
      <c r="A1308" t="s">
        <v>1393</v>
      </c>
      <c r="B1308" s="3">
        <v>45411</v>
      </c>
      <c r="C1308">
        <v>13</v>
      </c>
      <c r="D1308" t="s">
        <v>27</v>
      </c>
      <c r="E1308">
        <v>63.1</v>
      </c>
      <c r="F1308">
        <v>153.30000000000001</v>
      </c>
      <c r="G1308" s="4">
        <f t="shared" si="40"/>
        <v>26.850046955668482</v>
      </c>
      <c r="H1308" t="s">
        <v>99</v>
      </c>
      <c r="I1308" t="s">
        <v>105</v>
      </c>
      <c r="J1308">
        <v>128</v>
      </c>
      <c r="K1308">
        <v>79</v>
      </c>
      <c r="L1308">
        <v>65</v>
      </c>
      <c r="M1308">
        <v>1</v>
      </c>
      <c r="N1308" s="5">
        <v>2756.02</v>
      </c>
      <c r="O1308" t="s">
        <v>63</v>
      </c>
      <c r="P1308" t="str">
        <f t="shared" si="41"/>
        <v>Hospital Central de Nampula</v>
      </c>
      <c r="Q1308" t="s">
        <v>24</v>
      </c>
      <c r="R1308">
        <v>3</v>
      </c>
    </row>
    <row r="1309" spans="1:18" x14ac:dyDescent="0.45">
      <c r="A1309" t="s">
        <v>1394</v>
      </c>
      <c r="B1309" s="3">
        <v>45242</v>
      </c>
      <c r="C1309">
        <v>38</v>
      </c>
      <c r="D1309" t="s">
        <v>27</v>
      </c>
      <c r="E1309">
        <v>56.8</v>
      </c>
      <c r="F1309">
        <v>163.6</v>
      </c>
      <c r="G1309" s="4">
        <f t="shared" si="40"/>
        <v>21.22177653170414</v>
      </c>
      <c r="H1309" t="s">
        <v>46</v>
      </c>
      <c r="I1309" t="s">
        <v>47</v>
      </c>
      <c r="J1309">
        <v>113</v>
      </c>
      <c r="K1309">
        <v>76</v>
      </c>
      <c r="L1309">
        <v>83</v>
      </c>
      <c r="M1309">
        <v>6</v>
      </c>
      <c r="N1309" s="5">
        <v>15292.64</v>
      </c>
      <c r="O1309" t="s">
        <v>51</v>
      </c>
      <c r="P1309" t="str">
        <f t="shared" si="41"/>
        <v>Hospital Central de Quelimane</v>
      </c>
      <c r="Q1309" t="s">
        <v>24</v>
      </c>
      <c r="R1309">
        <v>4</v>
      </c>
    </row>
    <row r="1310" spans="1:18" x14ac:dyDescent="0.45">
      <c r="A1310" t="s">
        <v>1395</v>
      </c>
      <c r="B1310" s="3">
        <v>45227</v>
      </c>
      <c r="C1310">
        <v>47</v>
      </c>
      <c r="D1310" t="s">
        <v>27</v>
      </c>
      <c r="E1310">
        <v>58.5</v>
      </c>
      <c r="F1310">
        <v>165.7</v>
      </c>
      <c r="G1310" s="4">
        <f t="shared" si="40"/>
        <v>21.306437931432608</v>
      </c>
      <c r="H1310" t="s">
        <v>46</v>
      </c>
      <c r="I1310" t="s">
        <v>66</v>
      </c>
      <c r="J1310">
        <v>115</v>
      </c>
      <c r="K1310">
        <v>70</v>
      </c>
      <c r="L1310">
        <v>86</v>
      </c>
      <c r="M1310">
        <v>2</v>
      </c>
      <c r="N1310" s="5">
        <v>6601.42</v>
      </c>
      <c r="O1310" t="s">
        <v>51</v>
      </c>
      <c r="P1310" t="str">
        <f t="shared" si="41"/>
        <v>Hospital Central de Quelimane</v>
      </c>
      <c r="Q1310" t="s">
        <v>76</v>
      </c>
      <c r="R1310">
        <v>1</v>
      </c>
    </row>
    <row r="1311" spans="1:18" x14ac:dyDescent="0.45">
      <c r="A1311" t="s">
        <v>1396</v>
      </c>
      <c r="B1311" s="3">
        <v>45274</v>
      </c>
      <c r="C1311">
        <v>28</v>
      </c>
      <c r="D1311" t="s">
        <v>20</v>
      </c>
      <c r="E1311">
        <v>56.6</v>
      </c>
      <c r="F1311">
        <v>157.5</v>
      </c>
      <c r="G1311" s="4">
        <f t="shared" si="40"/>
        <v>22.816830435878057</v>
      </c>
      <c r="H1311" t="s">
        <v>41</v>
      </c>
      <c r="I1311" t="s">
        <v>42</v>
      </c>
      <c r="J1311">
        <v>110</v>
      </c>
      <c r="K1311">
        <v>63</v>
      </c>
      <c r="L1311">
        <v>113</v>
      </c>
      <c r="M1311">
        <v>1</v>
      </c>
      <c r="N1311" s="5">
        <v>5165.09</v>
      </c>
      <c r="O1311" t="s">
        <v>63</v>
      </c>
      <c r="P1311" t="str">
        <f t="shared" si="41"/>
        <v>Hospital Central de Nampula</v>
      </c>
      <c r="Q1311" t="s">
        <v>24</v>
      </c>
      <c r="R1311">
        <v>5</v>
      </c>
    </row>
    <row r="1312" spans="1:18" x14ac:dyDescent="0.45">
      <c r="A1312" t="s">
        <v>1397</v>
      </c>
      <c r="B1312" s="3">
        <v>45415</v>
      </c>
      <c r="C1312">
        <v>13</v>
      </c>
      <c r="D1312" t="s">
        <v>20</v>
      </c>
      <c r="E1312">
        <v>56.2</v>
      </c>
      <c r="F1312">
        <v>170.9</v>
      </c>
      <c r="G1312" s="4">
        <f t="shared" si="40"/>
        <v>19.242087718583441</v>
      </c>
      <c r="H1312" t="s">
        <v>28</v>
      </c>
      <c r="I1312" t="s">
        <v>29</v>
      </c>
      <c r="J1312">
        <v>127</v>
      </c>
      <c r="K1312">
        <v>72</v>
      </c>
      <c r="L1312">
        <v>65</v>
      </c>
      <c r="M1312">
        <v>1</v>
      </c>
      <c r="N1312" s="5">
        <v>5512.08</v>
      </c>
      <c r="O1312" t="s">
        <v>52</v>
      </c>
      <c r="P1312" t="str">
        <f t="shared" si="41"/>
        <v>Hospital Provincial de Chimoio</v>
      </c>
      <c r="Q1312" t="s">
        <v>24</v>
      </c>
      <c r="R1312">
        <v>4</v>
      </c>
    </row>
    <row r="1313" spans="1:18" x14ac:dyDescent="0.45">
      <c r="A1313" t="s">
        <v>1398</v>
      </c>
      <c r="B1313" s="3">
        <v>45332</v>
      </c>
      <c r="C1313">
        <v>38</v>
      </c>
      <c r="D1313" t="s">
        <v>27</v>
      </c>
      <c r="E1313">
        <v>70.7</v>
      </c>
      <c r="F1313">
        <v>145.69999999999999</v>
      </c>
      <c r="G1313" s="4">
        <f t="shared" si="40"/>
        <v>33.304300023223519</v>
      </c>
      <c r="H1313" t="s">
        <v>21</v>
      </c>
      <c r="I1313" t="s">
        <v>123</v>
      </c>
      <c r="J1313">
        <v>108</v>
      </c>
      <c r="K1313">
        <v>61</v>
      </c>
      <c r="L1313">
        <v>100</v>
      </c>
      <c r="M1313">
        <v>4</v>
      </c>
      <c r="N1313" s="5">
        <v>8491.74</v>
      </c>
      <c r="O1313" t="s">
        <v>52</v>
      </c>
      <c r="P1313" t="str">
        <f t="shared" si="41"/>
        <v>Hospital Provincial de Chimoio</v>
      </c>
      <c r="Q1313" t="s">
        <v>37</v>
      </c>
      <c r="R1313">
        <v>5</v>
      </c>
    </row>
    <row r="1314" spans="1:18" x14ac:dyDescent="0.45">
      <c r="A1314" t="s">
        <v>1399</v>
      </c>
      <c r="B1314" s="3">
        <v>44995</v>
      </c>
      <c r="C1314">
        <v>43</v>
      </c>
      <c r="D1314" t="s">
        <v>27</v>
      </c>
      <c r="E1314">
        <v>72.099999999999994</v>
      </c>
      <c r="F1314">
        <v>160.4</v>
      </c>
      <c r="G1314" s="4">
        <f t="shared" si="40"/>
        <v>28.0237685089023</v>
      </c>
      <c r="H1314" t="s">
        <v>46</v>
      </c>
      <c r="I1314" t="s">
        <v>108</v>
      </c>
      <c r="J1314">
        <v>99</v>
      </c>
      <c r="K1314">
        <v>55</v>
      </c>
      <c r="L1314">
        <v>71</v>
      </c>
      <c r="M1314">
        <v>1</v>
      </c>
      <c r="N1314" s="5">
        <v>4750.28</v>
      </c>
      <c r="O1314" t="s">
        <v>57</v>
      </c>
      <c r="P1314" t="str">
        <f t="shared" si="41"/>
        <v>Hospital Provincial de Tete</v>
      </c>
      <c r="Q1314" t="s">
        <v>24</v>
      </c>
      <c r="R1314">
        <v>5</v>
      </c>
    </row>
    <row r="1315" spans="1:18" x14ac:dyDescent="0.45">
      <c r="A1315" t="s">
        <v>1400</v>
      </c>
      <c r="B1315" s="3">
        <v>45242</v>
      </c>
      <c r="C1315">
        <v>18</v>
      </c>
      <c r="D1315" t="s">
        <v>27</v>
      </c>
      <c r="E1315">
        <v>96.6</v>
      </c>
      <c r="F1315">
        <v>167.9</v>
      </c>
      <c r="G1315" s="4">
        <f t="shared" si="40"/>
        <v>34.266972349816825</v>
      </c>
      <c r="H1315" t="s">
        <v>21</v>
      </c>
      <c r="I1315" t="s">
        <v>89</v>
      </c>
      <c r="J1315">
        <v>136</v>
      </c>
      <c r="K1315">
        <v>77</v>
      </c>
      <c r="L1315">
        <v>110</v>
      </c>
      <c r="M1315">
        <v>2</v>
      </c>
      <c r="N1315" s="5">
        <v>4065.49</v>
      </c>
      <c r="O1315" t="s">
        <v>51</v>
      </c>
      <c r="P1315" t="str">
        <f t="shared" si="41"/>
        <v>Hospital Central de Quelimane</v>
      </c>
      <c r="Q1315" t="s">
        <v>24</v>
      </c>
      <c r="R1315">
        <v>5</v>
      </c>
    </row>
    <row r="1316" spans="1:18" x14ac:dyDescent="0.45">
      <c r="A1316" t="s">
        <v>1401</v>
      </c>
      <c r="B1316" s="3">
        <v>45533</v>
      </c>
      <c r="C1316">
        <v>12</v>
      </c>
      <c r="D1316" t="s">
        <v>20</v>
      </c>
      <c r="E1316">
        <v>50</v>
      </c>
      <c r="F1316">
        <v>154.80000000000001</v>
      </c>
      <c r="G1316" s="4">
        <f t="shared" si="40"/>
        <v>20.865466151206189</v>
      </c>
      <c r="H1316" t="s">
        <v>28</v>
      </c>
      <c r="I1316" t="s">
        <v>73</v>
      </c>
      <c r="J1316">
        <v>116</v>
      </c>
      <c r="K1316">
        <v>72</v>
      </c>
      <c r="L1316">
        <v>75</v>
      </c>
      <c r="M1316">
        <v>1</v>
      </c>
      <c r="N1316" s="5">
        <v>4213.3500000000004</v>
      </c>
      <c r="O1316" t="s">
        <v>31</v>
      </c>
      <c r="P1316" t="str">
        <f t="shared" si="41"/>
        <v>Hospital Provincial da Matola</v>
      </c>
      <c r="Q1316" t="s">
        <v>24</v>
      </c>
      <c r="R1316">
        <v>5</v>
      </c>
    </row>
    <row r="1317" spans="1:18" x14ac:dyDescent="0.45">
      <c r="A1317" t="s">
        <v>1402</v>
      </c>
      <c r="B1317" s="3">
        <v>45515</v>
      </c>
      <c r="C1317">
        <v>18</v>
      </c>
      <c r="D1317" t="s">
        <v>27</v>
      </c>
      <c r="E1317">
        <v>51</v>
      </c>
      <c r="F1317">
        <v>164.3</v>
      </c>
      <c r="G1317" s="4">
        <f t="shared" si="40"/>
        <v>18.892744408210714</v>
      </c>
      <c r="H1317" t="s">
        <v>46</v>
      </c>
      <c r="I1317" t="s">
        <v>47</v>
      </c>
      <c r="J1317">
        <v>99</v>
      </c>
      <c r="K1317">
        <v>56</v>
      </c>
      <c r="L1317">
        <v>93</v>
      </c>
      <c r="M1317">
        <v>4</v>
      </c>
      <c r="N1317" s="5">
        <v>11781.45</v>
      </c>
      <c r="O1317" t="s">
        <v>43</v>
      </c>
      <c r="P1317" t="str">
        <f t="shared" si="41"/>
        <v>Hospital Central da Beira</v>
      </c>
      <c r="Q1317" t="s">
        <v>24</v>
      </c>
      <c r="R1317">
        <v>4</v>
      </c>
    </row>
    <row r="1318" spans="1:18" x14ac:dyDescent="0.45">
      <c r="A1318" t="s">
        <v>1403</v>
      </c>
      <c r="B1318" s="3">
        <v>45238</v>
      </c>
      <c r="C1318">
        <v>66</v>
      </c>
      <c r="D1318" t="s">
        <v>20</v>
      </c>
      <c r="E1318">
        <v>63.8</v>
      </c>
      <c r="F1318">
        <v>165</v>
      </c>
      <c r="G1318" s="4">
        <f t="shared" si="40"/>
        <v>23.434343434343436</v>
      </c>
      <c r="H1318" t="s">
        <v>46</v>
      </c>
      <c r="I1318" t="s">
        <v>66</v>
      </c>
      <c r="J1318">
        <v>138</v>
      </c>
      <c r="K1318">
        <v>76</v>
      </c>
      <c r="L1318">
        <v>69</v>
      </c>
      <c r="M1318">
        <v>7</v>
      </c>
      <c r="N1318" s="5">
        <v>18922.599999999999</v>
      </c>
      <c r="O1318" t="s">
        <v>23</v>
      </c>
      <c r="P1318" t="str">
        <f t="shared" si="41"/>
        <v>Hospital Central de Maputo</v>
      </c>
      <c r="Q1318" t="s">
        <v>24</v>
      </c>
      <c r="R1318">
        <v>4</v>
      </c>
    </row>
    <row r="1319" spans="1:18" x14ac:dyDescent="0.45">
      <c r="A1319" t="s">
        <v>1404</v>
      </c>
      <c r="B1319" s="3">
        <v>45195</v>
      </c>
      <c r="C1319">
        <v>18</v>
      </c>
      <c r="D1319" t="s">
        <v>27</v>
      </c>
      <c r="E1319">
        <v>60.6</v>
      </c>
      <c r="F1319">
        <v>154.19999999999999</v>
      </c>
      <c r="G1319" s="4">
        <f t="shared" si="40"/>
        <v>25.486128985046459</v>
      </c>
      <c r="H1319" t="s">
        <v>46</v>
      </c>
      <c r="I1319" t="s">
        <v>47</v>
      </c>
      <c r="J1319">
        <v>106</v>
      </c>
      <c r="K1319">
        <v>64</v>
      </c>
      <c r="L1319">
        <v>78</v>
      </c>
      <c r="M1319">
        <v>1</v>
      </c>
      <c r="N1319" s="5">
        <v>4025.69</v>
      </c>
      <c r="O1319" t="s">
        <v>57</v>
      </c>
      <c r="P1319" t="str">
        <f t="shared" si="41"/>
        <v>Hospital Provincial de Tete</v>
      </c>
      <c r="Q1319" t="s">
        <v>76</v>
      </c>
      <c r="R1319">
        <v>5</v>
      </c>
    </row>
    <row r="1320" spans="1:18" x14ac:dyDescent="0.45">
      <c r="A1320" t="s">
        <v>1405</v>
      </c>
      <c r="B1320" s="3">
        <v>44942</v>
      </c>
      <c r="C1320">
        <v>5</v>
      </c>
      <c r="D1320" t="s">
        <v>27</v>
      </c>
      <c r="E1320">
        <v>18</v>
      </c>
      <c r="F1320">
        <v>114.8</v>
      </c>
      <c r="G1320" s="4">
        <f t="shared" si="40"/>
        <v>13.658050965775962</v>
      </c>
      <c r="H1320" t="s">
        <v>28</v>
      </c>
      <c r="I1320" t="s">
        <v>29</v>
      </c>
      <c r="J1320">
        <v>88</v>
      </c>
      <c r="K1320">
        <v>55</v>
      </c>
      <c r="L1320">
        <v>84</v>
      </c>
      <c r="M1320">
        <v>1</v>
      </c>
      <c r="N1320" s="5">
        <v>4031.54</v>
      </c>
      <c r="O1320" t="s">
        <v>36</v>
      </c>
      <c r="P1320" t="str">
        <f t="shared" si="41"/>
        <v>Hospital Provincial de Lichinga</v>
      </c>
      <c r="Q1320" t="s">
        <v>24</v>
      </c>
      <c r="R1320">
        <v>5</v>
      </c>
    </row>
    <row r="1321" spans="1:18" x14ac:dyDescent="0.45">
      <c r="A1321" t="s">
        <v>1406</v>
      </c>
      <c r="B1321" s="3">
        <v>45165</v>
      </c>
      <c r="C1321">
        <v>34</v>
      </c>
      <c r="D1321" t="s">
        <v>27</v>
      </c>
      <c r="E1321">
        <v>68.5</v>
      </c>
      <c r="F1321">
        <v>142.69999999999999</v>
      </c>
      <c r="G1321" s="4">
        <f t="shared" si="40"/>
        <v>33.638965019896105</v>
      </c>
      <c r="H1321" t="s">
        <v>21</v>
      </c>
      <c r="I1321" t="s">
        <v>89</v>
      </c>
      <c r="J1321">
        <v>129</v>
      </c>
      <c r="K1321">
        <v>79</v>
      </c>
      <c r="L1321">
        <v>107</v>
      </c>
      <c r="M1321">
        <v>1</v>
      </c>
      <c r="N1321" s="5">
        <v>3795.16</v>
      </c>
      <c r="O1321" t="s">
        <v>57</v>
      </c>
      <c r="P1321" t="str">
        <f t="shared" si="41"/>
        <v>Hospital Provincial de Tete</v>
      </c>
      <c r="Q1321" t="s">
        <v>24</v>
      </c>
      <c r="R1321">
        <v>4</v>
      </c>
    </row>
    <row r="1322" spans="1:18" x14ac:dyDescent="0.45">
      <c r="A1322" t="s">
        <v>1407</v>
      </c>
      <c r="B1322" s="3">
        <v>45016</v>
      </c>
      <c r="C1322">
        <v>21</v>
      </c>
      <c r="D1322" t="s">
        <v>20</v>
      </c>
      <c r="E1322">
        <v>72.599999999999994</v>
      </c>
      <c r="F1322">
        <v>188.7</v>
      </c>
      <c r="G1322" s="4">
        <f t="shared" si="40"/>
        <v>20.388854205369686</v>
      </c>
      <c r="H1322" t="s">
        <v>34</v>
      </c>
      <c r="I1322" t="s">
        <v>128</v>
      </c>
      <c r="J1322">
        <v>115</v>
      </c>
      <c r="K1322">
        <v>56</v>
      </c>
      <c r="L1322">
        <v>68</v>
      </c>
      <c r="M1322">
        <v>2</v>
      </c>
      <c r="N1322" s="5">
        <v>8828.19</v>
      </c>
      <c r="O1322" t="s">
        <v>23</v>
      </c>
      <c r="P1322" t="str">
        <f t="shared" si="41"/>
        <v>Hospital Central de Maputo</v>
      </c>
      <c r="Q1322" t="s">
        <v>24</v>
      </c>
      <c r="R1322">
        <v>4</v>
      </c>
    </row>
    <row r="1323" spans="1:18" x14ac:dyDescent="0.45">
      <c r="A1323" t="s">
        <v>1408</v>
      </c>
      <c r="B1323" s="3">
        <v>45121</v>
      </c>
      <c r="C1323">
        <v>58</v>
      </c>
      <c r="D1323" t="s">
        <v>20</v>
      </c>
      <c r="E1323">
        <v>67</v>
      </c>
      <c r="F1323">
        <v>162.69999999999999</v>
      </c>
      <c r="G1323" s="4">
        <f t="shared" si="40"/>
        <v>25.310440103221271</v>
      </c>
      <c r="H1323" t="s">
        <v>91</v>
      </c>
      <c r="I1323" t="s">
        <v>116</v>
      </c>
      <c r="J1323">
        <v>149</v>
      </c>
      <c r="K1323">
        <v>92</v>
      </c>
      <c r="L1323">
        <v>77</v>
      </c>
      <c r="M1323">
        <v>6</v>
      </c>
      <c r="N1323" s="5">
        <v>19363.64</v>
      </c>
      <c r="O1323" t="s">
        <v>63</v>
      </c>
      <c r="P1323" t="str">
        <f t="shared" si="41"/>
        <v>Hospital Central de Nampula</v>
      </c>
      <c r="Q1323" t="s">
        <v>24</v>
      </c>
      <c r="R1323">
        <v>5</v>
      </c>
    </row>
    <row r="1324" spans="1:18" x14ac:dyDescent="0.45">
      <c r="A1324" t="s">
        <v>1409</v>
      </c>
      <c r="B1324" s="3">
        <v>45004</v>
      </c>
      <c r="C1324">
        <v>52</v>
      </c>
      <c r="D1324" t="s">
        <v>27</v>
      </c>
      <c r="E1324">
        <v>55.2</v>
      </c>
      <c r="F1324">
        <v>169.6</v>
      </c>
      <c r="G1324" s="4">
        <f t="shared" si="40"/>
        <v>19.19054823780705</v>
      </c>
      <c r="H1324" t="s">
        <v>46</v>
      </c>
      <c r="I1324" t="s">
        <v>47</v>
      </c>
      <c r="J1324">
        <v>128</v>
      </c>
      <c r="K1324">
        <v>73</v>
      </c>
      <c r="L1324">
        <v>70</v>
      </c>
      <c r="M1324">
        <v>4</v>
      </c>
      <c r="N1324" s="5">
        <v>9362.5300000000007</v>
      </c>
      <c r="O1324" t="s">
        <v>57</v>
      </c>
      <c r="P1324" t="str">
        <f t="shared" si="41"/>
        <v>Hospital Provincial de Tete</v>
      </c>
      <c r="Q1324" t="s">
        <v>24</v>
      </c>
      <c r="R1324">
        <v>5</v>
      </c>
    </row>
    <row r="1325" spans="1:18" x14ac:dyDescent="0.45">
      <c r="A1325" t="s">
        <v>1410</v>
      </c>
      <c r="B1325" s="3">
        <v>44980</v>
      </c>
      <c r="C1325">
        <v>58</v>
      </c>
      <c r="D1325" t="s">
        <v>20</v>
      </c>
      <c r="E1325">
        <v>78.2</v>
      </c>
      <c r="F1325">
        <v>148</v>
      </c>
      <c r="G1325" s="4">
        <f t="shared" si="40"/>
        <v>35.701241782322867</v>
      </c>
      <c r="H1325" t="s">
        <v>91</v>
      </c>
      <c r="I1325" t="s">
        <v>110</v>
      </c>
      <c r="J1325">
        <v>113</v>
      </c>
      <c r="K1325">
        <v>70</v>
      </c>
      <c r="L1325">
        <v>92</v>
      </c>
      <c r="M1325">
        <v>11</v>
      </c>
      <c r="N1325" s="5">
        <v>30454.94</v>
      </c>
      <c r="O1325" t="s">
        <v>23</v>
      </c>
      <c r="P1325" t="str">
        <f t="shared" si="41"/>
        <v>Hospital Central de Maputo</v>
      </c>
      <c r="Q1325" t="s">
        <v>24</v>
      </c>
      <c r="R1325">
        <v>3</v>
      </c>
    </row>
    <row r="1326" spans="1:18" x14ac:dyDescent="0.45">
      <c r="A1326" t="s">
        <v>1411</v>
      </c>
      <c r="B1326" s="3">
        <v>45572</v>
      </c>
      <c r="C1326">
        <v>46</v>
      </c>
      <c r="D1326" t="s">
        <v>27</v>
      </c>
      <c r="E1326">
        <v>38.5</v>
      </c>
      <c r="F1326">
        <v>158.80000000000001</v>
      </c>
      <c r="G1326" s="4">
        <f t="shared" si="40"/>
        <v>15.267211897797711</v>
      </c>
      <c r="H1326" t="s">
        <v>21</v>
      </c>
      <c r="I1326" t="s">
        <v>22</v>
      </c>
      <c r="J1326">
        <v>140</v>
      </c>
      <c r="K1326">
        <v>88</v>
      </c>
      <c r="L1326">
        <v>88</v>
      </c>
      <c r="M1326">
        <v>1</v>
      </c>
      <c r="N1326" s="5">
        <v>2358.89</v>
      </c>
      <c r="O1326" t="s">
        <v>67</v>
      </c>
      <c r="P1326" t="str">
        <f t="shared" si="41"/>
        <v>Hospital Provincial de Pemba</v>
      </c>
      <c r="Q1326" t="s">
        <v>24</v>
      </c>
      <c r="R1326">
        <v>4</v>
      </c>
    </row>
    <row r="1327" spans="1:18" x14ac:dyDescent="0.45">
      <c r="A1327" t="s">
        <v>1412</v>
      </c>
      <c r="B1327" s="3">
        <v>45230</v>
      </c>
      <c r="C1327">
        <v>18</v>
      </c>
      <c r="D1327" t="s">
        <v>27</v>
      </c>
      <c r="E1327">
        <v>50</v>
      </c>
      <c r="F1327">
        <v>182.3</v>
      </c>
      <c r="G1327" s="4">
        <f t="shared" si="40"/>
        <v>15.045155023772846</v>
      </c>
      <c r="H1327" t="s">
        <v>99</v>
      </c>
      <c r="I1327" t="s">
        <v>105</v>
      </c>
      <c r="J1327">
        <v>111</v>
      </c>
      <c r="K1327">
        <v>60</v>
      </c>
      <c r="L1327">
        <v>65</v>
      </c>
      <c r="M1327">
        <v>12</v>
      </c>
      <c r="N1327" s="5">
        <v>18479.5</v>
      </c>
      <c r="O1327" t="s">
        <v>57</v>
      </c>
      <c r="P1327" t="str">
        <f t="shared" si="41"/>
        <v>Hospital Provincial de Tete</v>
      </c>
      <c r="Q1327" t="s">
        <v>24</v>
      </c>
      <c r="R1327">
        <v>4</v>
      </c>
    </row>
    <row r="1328" spans="1:18" x14ac:dyDescent="0.45">
      <c r="A1328" t="s">
        <v>1413</v>
      </c>
      <c r="B1328" s="3">
        <v>44929</v>
      </c>
      <c r="C1328">
        <v>27</v>
      </c>
      <c r="D1328" t="s">
        <v>27</v>
      </c>
      <c r="E1328">
        <v>68.599999999999994</v>
      </c>
      <c r="F1328">
        <v>149.80000000000001</v>
      </c>
      <c r="G1328" s="4">
        <f t="shared" si="40"/>
        <v>30.570355489562395</v>
      </c>
      <c r="H1328" t="s">
        <v>34</v>
      </c>
      <c r="I1328" t="s">
        <v>35</v>
      </c>
      <c r="J1328">
        <v>105</v>
      </c>
      <c r="K1328">
        <v>59</v>
      </c>
      <c r="L1328">
        <v>91</v>
      </c>
      <c r="M1328">
        <v>1</v>
      </c>
      <c r="N1328" s="5">
        <v>1989.87</v>
      </c>
      <c r="O1328" t="s">
        <v>23</v>
      </c>
      <c r="P1328" t="str">
        <f t="shared" si="41"/>
        <v>Hospital Central de Maputo</v>
      </c>
      <c r="Q1328" t="s">
        <v>24</v>
      </c>
      <c r="R1328">
        <v>4</v>
      </c>
    </row>
    <row r="1329" spans="1:18" x14ac:dyDescent="0.45">
      <c r="A1329" t="s">
        <v>1414</v>
      </c>
      <c r="B1329" s="3">
        <v>45577</v>
      </c>
      <c r="C1329">
        <v>18</v>
      </c>
      <c r="D1329" t="s">
        <v>20</v>
      </c>
      <c r="E1329">
        <v>62.4</v>
      </c>
      <c r="F1329">
        <v>169.4</v>
      </c>
      <c r="G1329" s="4">
        <f t="shared" si="40"/>
        <v>21.744918170806333</v>
      </c>
      <c r="H1329" t="s">
        <v>34</v>
      </c>
      <c r="I1329" t="s">
        <v>126</v>
      </c>
      <c r="J1329">
        <v>115</v>
      </c>
      <c r="K1329">
        <v>73</v>
      </c>
      <c r="L1329">
        <v>71</v>
      </c>
      <c r="M1329">
        <v>4</v>
      </c>
      <c r="N1329" s="5">
        <v>11141.13</v>
      </c>
      <c r="O1329" t="s">
        <v>52</v>
      </c>
      <c r="P1329" t="str">
        <f t="shared" si="41"/>
        <v>Hospital Provincial de Chimoio</v>
      </c>
      <c r="Q1329" t="s">
        <v>37</v>
      </c>
      <c r="R1329">
        <v>4</v>
      </c>
    </row>
    <row r="1330" spans="1:18" x14ac:dyDescent="0.45">
      <c r="A1330" t="s">
        <v>1415</v>
      </c>
      <c r="B1330" s="3">
        <v>44933</v>
      </c>
      <c r="C1330">
        <v>9</v>
      </c>
      <c r="D1330" t="s">
        <v>20</v>
      </c>
      <c r="E1330">
        <v>38</v>
      </c>
      <c r="F1330">
        <v>94.5</v>
      </c>
      <c r="G1330" s="4">
        <f t="shared" si="40"/>
        <v>42.552000223957897</v>
      </c>
      <c r="H1330" t="s">
        <v>28</v>
      </c>
      <c r="I1330" t="s">
        <v>75</v>
      </c>
      <c r="J1330">
        <v>94</v>
      </c>
      <c r="K1330">
        <v>62</v>
      </c>
      <c r="L1330">
        <v>94</v>
      </c>
      <c r="M1330">
        <v>10</v>
      </c>
      <c r="N1330" s="5">
        <v>33028.400000000001</v>
      </c>
      <c r="O1330" t="s">
        <v>38</v>
      </c>
      <c r="P1330" t="str">
        <f t="shared" si="41"/>
        <v>Hospital Provincial de Xai-Xai</v>
      </c>
      <c r="Q1330" t="s">
        <v>24</v>
      </c>
      <c r="R1330">
        <v>5</v>
      </c>
    </row>
    <row r="1331" spans="1:18" x14ac:dyDescent="0.45">
      <c r="A1331" t="s">
        <v>1416</v>
      </c>
      <c r="B1331" s="3">
        <v>45510</v>
      </c>
      <c r="C1331">
        <v>38</v>
      </c>
      <c r="D1331" t="s">
        <v>27</v>
      </c>
      <c r="E1331">
        <v>75.7</v>
      </c>
      <c r="F1331">
        <v>163</v>
      </c>
      <c r="G1331" s="4">
        <f t="shared" si="40"/>
        <v>28.491851405773648</v>
      </c>
      <c r="H1331" t="s">
        <v>91</v>
      </c>
      <c r="I1331" t="s">
        <v>92</v>
      </c>
      <c r="J1331">
        <v>115</v>
      </c>
      <c r="K1331">
        <v>71</v>
      </c>
      <c r="L1331">
        <v>102</v>
      </c>
      <c r="M1331">
        <v>1</v>
      </c>
      <c r="N1331" s="5">
        <v>4176.8500000000004</v>
      </c>
      <c r="O1331" t="s">
        <v>51</v>
      </c>
      <c r="P1331" t="str">
        <f t="shared" si="41"/>
        <v>Hospital Central de Quelimane</v>
      </c>
      <c r="Q1331" t="s">
        <v>24</v>
      </c>
      <c r="R1331">
        <v>4</v>
      </c>
    </row>
    <row r="1332" spans="1:18" x14ac:dyDescent="0.45">
      <c r="A1332" t="s">
        <v>1417</v>
      </c>
      <c r="B1332" s="3">
        <v>45642</v>
      </c>
      <c r="C1332">
        <v>2</v>
      </c>
      <c r="D1332" t="s">
        <v>27</v>
      </c>
      <c r="E1332">
        <v>28.3</v>
      </c>
      <c r="F1332">
        <v>95.2</v>
      </c>
      <c r="G1332" s="4">
        <f t="shared" si="40"/>
        <v>31.225725584351384</v>
      </c>
      <c r="H1332" t="s">
        <v>28</v>
      </c>
      <c r="I1332" t="s">
        <v>73</v>
      </c>
      <c r="J1332">
        <v>85</v>
      </c>
      <c r="K1332">
        <v>55</v>
      </c>
      <c r="L1332">
        <v>89</v>
      </c>
      <c r="M1332">
        <v>1</v>
      </c>
      <c r="N1332" s="5">
        <v>4595.4799999999996</v>
      </c>
      <c r="O1332" t="s">
        <v>63</v>
      </c>
      <c r="P1332" t="str">
        <f t="shared" si="41"/>
        <v>Hospital Central de Nampula</v>
      </c>
      <c r="Q1332" t="s">
        <v>37</v>
      </c>
      <c r="R1332">
        <v>4</v>
      </c>
    </row>
    <row r="1333" spans="1:18" x14ac:dyDescent="0.45">
      <c r="A1333" t="s">
        <v>1418</v>
      </c>
      <c r="B1333" s="3">
        <v>45048</v>
      </c>
      <c r="C1333">
        <v>12</v>
      </c>
      <c r="D1333" t="s">
        <v>27</v>
      </c>
      <c r="E1333">
        <v>54.4</v>
      </c>
      <c r="F1333">
        <v>149.5</v>
      </c>
      <c r="G1333" s="4">
        <f t="shared" si="40"/>
        <v>24.339772485766375</v>
      </c>
      <c r="H1333" t="s">
        <v>99</v>
      </c>
      <c r="I1333" t="s">
        <v>103</v>
      </c>
      <c r="J1333">
        <v>103</v>
      </c>
      <c r="K1333">
        <v>62</v>
      </c>
      <c r="L1333">
        <v>69</v>
      </c>
      <c r="M1333">
        <v>27</v>
      </c>
      <c r="N1333" s="5">
        <v>85276.89</v>
      </c>
      <c r="O1333" t="s">
        <v>23</v>
      </c>
      <c r="P1333" t="str">
        <f t="shared" si="41"/>
        <v>Hospital Central de Maputo</v>
      </c>
      <c r="Q1333" t="s">
        <v>24</v>
      </c>
      <c r="R1333">
        <v>4</v>
      </c>
    </row>
    <row r="1334" spans="1:18" x14ac:dyDescent="0.45">
      <c r="A1334" t="s">
        <v>1419</v>
      </c>
      <c r="B1334" s="3">
        <v>45566</v>
      </c>
      <c r="C1334">
        <v>2</v>
      </c>
      <c r="D1334" t="s">
        <v>27</v>
      </c>
      <c r="E1334">
        <v>30.2</v>
      </c>
      <c r="F1334">
        <v>90.6</v>
      </c>
      <c r="G1334" s="4">
        <f t="shared" si="40"/>
        <v>36.791758646063286</v>
      </c>
      <c r="H1334" t="s">
        <v>28</v>
      </c>
      <c r="I1334" t="s">
        <v>75</v>
      </c>
      <c r="J1334">
        <v>113</v>
      </c>
      <c r="K1334">
        <v>55</v>
      </c>
      <c r="L1334">
        <v>102</v>
      </c>
      <c r="M1334">
        <v>1</v>
      </c>
      <c r="N1334" s="5">
        <v>6170.62</v>
      </c>
      <c r="O1334" t="s">
        <v>31</v>
      </c>
      <c r="P1334" t="str">
        <f t="shared" si="41"/>
        <v>Hospital Provincial da Matola</v>
      </c>
      <c r="Q1334" t="s">
        <v>24</v>
      </c>
      <c r="R1334">
        <v>3</v>
      </c>
    </row>
    <row r="1335" spans="1:18" x14ac:dyDescent="0.45">
      <c r="A1335" t="s">
        <v>1420</v>
      </c>
      <c r="B1335" s="3">
        <v>45347</v>
      </c>
      <c r="C1335">
        <v>18</v>
      </c>
      <c r="D1335" t="s">
        <v>20</v>
      </c>
      <c r="E1335">
        <v>82.7</v>
      </c>
      <c r="F1335">
        <v>144.19999999999999</v>
      </c>
      <c r="G1335" s="4">
        <f t="shared" si="40"/>
        <v>39.771776370082392</v>
      </c>
      <c r="H1335" t="s">
        <v>21</v>
      </c>
      <c r="I1335" t="s">
        <v>89</v>
      </c>
      <c r="J1335">
        <v>146</v>
      </c>
      <c r="K1335">
        <v>88</v>
      </c>
      <c r="L1335">
        <v>78</v>
      </c>
      <c r="M1335">
        <v>1</v>
      </c>
      <c r="N1335" s="5">
        <v>4732.6499999999996</v>
      </c>
      <c r="O1335" t="s">
        <v>63</v>
      </c>
      <c r="P1335" t="str">
        <f t="shared" si="41"/>
        <v>Hospital Central de Nampula</v>
      </c>
      <c r="Q1335" t="s">
        <v>24</v>
      </c>
      <c r="R1335">
        <v>5</v>
      </c>
    </row>
    <row r="1336" spans="1:18" x14ac:dyDescent="0.45">
      <c r="A1336" t="s">
        <v>1421</v>
      </c>
      <c r="B1336" s="3">
        <v>45529</v>
      </c>
      <c r="C1336">
        <v>17</v>
      </c>
      <c r="D1336" t="s">
        <v>20</v>
      </c>
      <c r="E1336">
        <v>72</v>
      </c>
      <c r="F1336">
        <v>166.2</v>
      </c>
      <c r="G1336" s="4">
        <f t="shared" si="40"/>
        <v>26.065763922376156</v>
      </c>
      <c r="H1336" t="s">
        <v>28</v>
      </c>
      <c r="I1336" t="s">
        <v>73</v>
      </c>
      <c r="J1336">
        <v>97</v>
      </c>
      <c r="K1336">
        <v>55</v>
      </c>
      <c r="L1336">
        <v>85</v>
      </c>
      <c r="M1336">
        <v>2</v>
      </c>
      <c r="N1336" s="5">
        <v>6102.27</v>
      </c>
      <c r="O1336" t="s">
        <v>43</v>
      </c>
      <c r="P1336" t="str">
        <f t="shared" si="41"/>
        <v>Hospital Central da Beira</v>
      </c>
      <c r="Q1336" t="s">
        <v>24</v>
      </c>
      <c r="R1336">
        <v>3</v>
      </c>
    </row>
    <row r="1337" spans="1:18" x14ac:dyDescent="0.45">
      <c r="A1337" t="s">
        <v>1422</v>
      </c>
      <c r="B1337" s="3">
        <v>45464</v>
      </c>
      <c r="C1337">
        <v>67</v>
      </c>
      <c r="D1337" t="s">
        <v>20</v>
      </c>
      <c r="E1337">
        <v>70.599999999999994</v>
      </c>
      <c r="F1337">
        <v>157.69999999999999</v>
      </c>
      <c r="G1337" s="4">
        <f t="shared" si="40"/>
        <v>28.38842604674279</v>
      </c>
      <c r="H1337" t="s">
        <v>21</v>
      </c>
      <c r="I1337" t="s">
        <v>70</v>
      </c>
      <c r="J1337">
        <v>131</v>
      </c>
      <c r="K1337">
        <v>77</v>
      </c>
      <c r="L1337">
        <v>100</v>
      </c>
      <c r="M1337">
        <v>5</v>
      </c>
      <c r="N1337" s="5">
        <v>9145.57</v>
      </c>
      <c r="O1337" t="s">
        <v>43</v>
      </c>
      <c r="P1337" t="str">
        <f t="shared" si="41"/>
        <v>Hospital Central da Beira</v>
      </c>
      <c r="Q1337" t="s">
        <v>24</v>
      </c>
      <c r="R1337">
        <v>5</v>
      </c>
    </row>
    <row r="1338" spans="1:18" x14ac:dyDescent="0.45">
      <c r="A1338" t="s">
        <v>1423</v>
      </c>
      <c r="B1338" s="3">
        <v>45223</v>
      </c>
      <c r="C1338">
        <v>64</v>
      </c>
      <c r="D1338" t="s">
        <v>27</v>
      </c>
      <c r="E1338">
        <v>74</v>
      </c>
      <c r="F1338">
        <v>161.19999999999999</v>
      </c>
      <c r="G1338" s="4">
        <f t="shared" si="40"/>
        <v>28.477485853616493</v>
      </c>
      <c r="H1338" t="s">
        <v>21</v>
      </c>
      <c r="I1338" t="s">
        <v>89</v>
      </c>
      <c r="J1338">
        <v>163</v>
      </c>
      <c r="K1338">
        <v>101</v>
      </c>
      <c r="L1338">
        <v>85</v>
      </c>
      <c r="M1338">
        <v>6</v>
      </c>
      <c r="N1338" s="5">
        <v>18278.580000000002</v>
      </c>
      <c r="O1338" t="s">
        <v>63</v>
      </c>
      <c r="P1338" t="str">
        <f t="shared" si="41"/>
        <v>Hospital Central de Nampula</v>
      </c>
      <c r="Q1338" t="s">
        <v>37</v>
      </c>
      <c r="R1338">
        <v>5</v>
      </c>
    </row>
    <row r="1339" spans="1:18" x14ac:dyDescent="0.45">
      <c r="A1339" t="s">
        <v>1424</v>
      </c>
      <c r="B1339" s="3">
        <v>45504</v>
      </c>
      <c r="C1339">
        <v>3</v>
      </c>
      <c r="D1339" t="s">
        <v>20</v>
      </c>
      <c r="E1339">
        <v>41.5</v>
      </c>
      <c r="F1339">
        <v>117.5</v>
      </c>
      <c r="G1339" s="4">
        <f t="shared" si="40"/>
        <v>30.058850158442731</v>
      </c>
      <c r="H1339" t="s">
        <v>28</v>
      </c>
      <c r="I1339" t="s">
        <v>29</v>
      </c>
      <c r="J1339">
        <v>94</v>
      </c>
      <c r="K1339">
        <v>58</v>
      </c>
      <c r="L1339">
        <v>71</v>
      </c>
      <c r="M1339">
        <v>1</v>
      </c>
      <c r="N1339" s="5">
        <v>4534.76</v>
      </c>
      <c r="O1339" t="s">
        <v>51</v>
      </c>
      <c r="P1339" t="str">
        <f t="shared" si="41"/>
        <v>Hospital Central de Quelimane</v>
      </c>
      <c r="Q1339" t="s">
        <v>37</v>
      </c>
      <c r="R1339">
        <v>4</v>
      </c>
    </row>
    <row r="1340" spans="1:18" x14ac:dyDescent="0.45">
      <c r="A1340" t="s">
        <v>1425</v>
      </c>
      <c r="B1340" s="3">
        <v>45090</v>
      </c>
      <c r="C1340">
        <v>21</v>
      </c>
      <c r="D1340" t="s">
        <v>20</v>
      </c>
      <c r="E1340">
        <v>91.8</v>
      </c>
      <c r="F1340">
        <v>151.6</v>
      </c>
      <c r="G1340" s="4">
        <f t="shared" si="40"/>
        <v>39.943330943115129</v>
      </c>
      <c r="H1340" t="s">
        <v>91</v>
      </c>
      <c r="I1340" t="s">
        <v>92</v>
      </c>
      <c r="J1340">
        <v>105</v>
      </c>
      <c r="K1340">
        <v>63</v>
      </c>
      <c r="L1340">
        <v>94</v>
      </c>
      <c r="M1340">
        <v>1</v>
      </c>
      <c r="N1340" s="5">
        <v>4313.41</v>
      </c>
      <c r="O1340" t="s">
        <v>43</v>
      </c>
      <c r="P1340" t="str">
        <f t="shared" si="41"/>
        <v>Hospital Central da Beira</v>
      </c>
      <c r="Q1340" t="s">
        <v>24</v>
      </c>
      <c r="R1340">
        <v>5</v>
      </c>
    </row>
    <row r="1341" spans="1:18" x14ac:dyDescent="0.45">
      <c r="A1341" t="s">
        <v>1426</v>
      </c>
      <c r="B1341" s="3">
        <v>45564</v>
      </c>
      <c r="C1341">
        <v>52</v>
      </c>
      <c r="D1341" t="s">
        <v>27</v>
      </c>
      <c r="E1341">
        <v>84</v>
      </c>
      <c r="F1341">
        <v>178</v>
      </c>
      <c r="G1341" s="4">
        <f t="shared" si="40"/>
        <v>26.511804065143288</v>
      </c>
      <c r="H1341" t="s">
        <v>55</v>
      </c>
      <c r="I1341" t="s">
        <v>56</v>
      </c>
      <c r="J1341">
        <v>141</v>
      </c>
      <c r="K1341">
        <v>83</v>
      </c>
      <c r="L1341">
        <v>65</v>
      </c>
      <c r="M1341">
        <v>6</v>
      </c>
      <c r="N1341" s="5">
        <v>19114.330000000002</v>
      </c>
      <c r="O1341" t="s">
        <v>43</v>
      </c>
      <c r="P1341" t="str">
        <f t="shared" si="41"/>
        <v>Hospital Central da Beira</v>
      </c>
      <c r="Q1341" t="s">
        <v>24</v>
      </c>
      <c r="R1341">
        <v>1</v>
      </c>
    </row>
    <row r="1342" spans="1:18" x14ac:dyDescent="0.45">
      <c r="A1342" t="s">
        <v>1427</v>
      </c>
      <c r="B1342" s="3">
        <v>45412</v>
      </c>
      <c r="C1342">
        <v>0</v>
      </c>
      <c r="D1342" t="s">
        <v>27</v>
      </c>
      <c r="E1342">
        <v>16.3</v>
      </c>
      <c r="F1342">
        <v>86.9</v>
      </c>
      <c r="G1342" s="4">
        <f t="shared" si="40"/>
        <v>21.584801121879966</v>
      </c>
      <c r="H1342" t="s">
        <v>28</v>
      </c>
      <c r="I1342" t="s">
        <v>73</v>
      </c>
      <c r="J1342">
        <v>91</v>
      </c>
      <c r="K1342">
        <v>62</v>
      </c>
      <c r="L1342">
        <v>78</v>
      </c>
      <c r="M1342">
        <v>1</v>
      </c>
      <c r="N1342" s="5">
        <v>4953.53</v>
      </c>
      <c r="O1342" t="s">
        <v>51</v>
      </c>
      <c r="P1342" t="str">
        <f t="shared" si="41"/>
        <v>Hospital Central de Quelimane</v>
      </c>
      <c r="Q1342" t="s">
        <v>24</v>
      </c>
      <c r="R1342">
        <v>5</v>
      </c>
    </row>
    <row r="1343" spans="1:18" x14ac:dyDescent="0.45">
      <c r="A1343" t="s">
        <v>1428</v>
      </c>
      <c r="B1343" s="3">
        <v>45224</v>
      </c>
      <c r="C1343">
        <v>42</v>
      </c>
      <c r="D1343" t="s">
        <v>20</v>
      </c>
      <c r="E1343">
        <v>69.2</v>
      </c>
      <c r="F1343">
        <v>155.6</v>
      </c>
      <c r="G1343" s="4">
        <f t="shared" si="40"/>
        <v>28.58162449362613</v>
      </c>
      <c r="H1343" t="s">
        <v>91</v>
      </c>
      <c r="I1343" t="s">
        <v>116</v>
      </c>
      <c r="J1343">
        <v>121</v>
      </c>
      <c r="K1343">
        <v>75</v>
      </c>
      <c r="L1343">
        <v>97</v>
      </c>
      <c r="M1343">
        <v>1</v>
      </c>
      <c r="N1343" s="5">
        <v>3997.92</v>
      </c>
      <c r="O1343" t="s">
        <v>43</v>
      </c>
      <c r="P1343" t="str">
        <f t="shared" si="41"/>
        <v>Hospital Central da Beira</v>
      </c>
      <c r="Q1343" t="s">
        <v>24</v>
      </c>
      <c r="R1343">
        <v>4</v>
      </c>
    </row>
    <row r="1344" spans="1:18" x14ac:dyDescent="0.45">
      <c r="A1344" t="s">
        <v>1429</v>
      </c>
      <c r="B1344" s="3">
        <v>45434</v>
      </c>
      <c r="C1344">
        <v>84</v>
      </c>
      <c r="D1344" t="s">
        <v>20</v>
      </c>
      <c r="E1344">
        <v>75.599999999999994</v>
      </c>
      <c r="F1344">
        <v>175.2</v>
      </c>
      <c r="G1344" s="4">
        <f t="shared" si="40"/>
        <v>24.629386376430855</v>
      </c>
      <c r="H1344" t="s">
        <v>46</v>
      </c>
      <c r="I1344" t="s">
        <v>108</v>
      </c>
      <c r="J1344">
        <v>138</v>
      </c>
      <c r="K1344">
        <v>86</v>
      </c>
      <c r="L1344">
        <v>65</v>
      </c>
      <c r="M1344">
        <v>1</v>
      </c>
      <c r="N1344" s="5">
        <v>3758</v>
      </c>
      <c r="O1344" t="s">
        <v>63</v>
      </c>
      <c r="P1344" t="str">
        <f t="shared" si="41"/>
        <v>Hospital Central de Nampula</v>
      </c>
      <c r="Q1344" t="s">
        <v>24</v>
      </c>
      <c r="R1344">
        <v>4</v>
      </c>
    </row>
    <row r="1345" spans="1:18" x14ac:dyDescent="0.45">
      <c r="A1345" t="s">
        <v>1430</v>
      </c>
      <c r="B1345" s="3">
        <v>44999</v>
      </c>
      <c r="C1345">
        <v>44</v>
      </c>
      <c r="D1345" t="s">
        <v>20</v>
      </c>
      <c r="E1345">
        <v>61.7</v>
      </c>
      <c r="F1345">
        <v>172.4</v>
      </c>
      <c r="G1345" s="4">
        <f t="shared" si="40"/>
        <v>20.75920133935541</v>
      </c>
      <c r="H1345" t="s">
        <v>41</v>
      </c>
      <c r="I1345" t="s">
        <v>113</v>
      </c>
      <c r="J1345">
        <v>149</v>
      </c>
      <c r="K1345">
        <v>86</v>
      </c>
      <c r="L1345">
        <v>148</v>
      </c>
      <c r="M1345">
        <v>1</v>
      </c>
      <c r="N1345" s="5">
        <v>4236.5200000000004</v>
      </c>
      <c r="O1345" t="s">
        <v>23</v>
      </c>
      <c r="P1345" t="str">
        <f t="shared" si="41"/>
        <v>Hospital Central de Maputo</v>
      </c>
      <c r="Q1345" t="s">
        <v>24</v>
      </c>
      <c r="R1345">
        <v>4</v>
      </c>
    </row>
    <row r="1346" spans="1:18" x14ac:dyDescent="0.45">
      <c r="A1346" t="s">
        <v>1431</v>
      </c>
      <c r="B1346" s="3">
        <v>45381</v>
      </c>
      <c r="C1346">
        <v>28</v>
      </c>
      <c r="D1346" t="s">
        <v>27</v>
      </c>
      <c r="E1346">
        <v>86.1</v>
      </c>
      <c r="F1346">
        <v>155.30000000000001</v>
      </c>
      <c r="G1346" s="4">
        <f t="shared" ref="G1346:G1409" si="42">E1346/((F1346/100)^2)</f>
        <v>35.699344351065939</v>
      </c>
      <c r="H1346" t="s">
        <v>99</v>
      </c>
      <c r="I1346" t="s">
        <v>105</v>
      </c>
      <c r="J1346">
        <v>99</v>
      </c>
      <c r="K1346">
        <v>58</v>
      </c>
      <c r="L1346">
        <v>69</v>
      </c>
      <c r="M1346">
        <v>1</v>
      </c>
      <c r="N1346" s="5">
        <v>5173.7299999999996</v>
      </c>
      <c r="O1346" t="s">
        <v>63</v>
      </c>
      <c r="P1346" t="str">
        <f t="shared" ref="P1346:P1409" si="43">INDEX($U$2:$U$12,MATCH(O1346,$T$2:$T$12,0))</f>
        <v>Hospital Central de Nampula</v>
      </c>
      <c r="Q1346" t="s">
        <v>24</v>
      </c>
      <c r="R1346">
        <v>5</v>
      </c>
    </row>
    <row r="1347" spans="1:18" x14ac:dyDescent="0.45">
      <c r="A1347" t="s">
        <v>1432</v>
      </c>
      <c r="B1347" s="3">
        <v>45631</v>
      </c>
      <c r="C1347">
        <v>23</v>
      </c>
      <c r="D1347" t="s">
        <v>27</v>
      </c>
      <c r="E1347">
        <v>74.599999999999994</v>
      </c>
      <c r="F1347">
        <v>141.4</v>
      </c>
      <c r="G1347" s="4">
        <f t="shared" si="42"/>
        <v>37.311268002936878</v>
      </c>
      <c r="H1347" t="s">
        <v>21</v>
      </c>
      <c r="I1347" t="s">
        <v>70</v>
      </c>
      <c r="J1347">
        <v>97</v>
      </c>
      <c r="K1347">
        <v>65</v>
      </c>
      <c r="L1347">
        <v>106</v>
      </c>
      <c r="M1347">
        <v>1</v>
      </c>
      <c r="N1347" s="5">
        <v>3963.88</v>
      </c>
      <c r="O1347" t="s">
        <v>23</v>
      </c>
      <c r="P1347" t="str">
        <f t="shared" si="43"/>
        <v>Hospital Central de Maputo</v>
      </c>
      <c r="Q1347" t="s">
        <v>37</v>
      </c>
      <c r="R1347">
        <v>4</v>
      </c>
    </row>
    <row r="1348" spans="1:18" x14ac:dyDescent="0.45">
      <c r="A1348" t="s">
        <v>1433</v>
      </c>
      <c r="B1348" s="3">
        <v>45279</v>
      </c>
      <c r="C1348">
        <v>62</v>
      </c>
      <c r="D1348" t="s">
        <v>27</v>
      </c>
      <c r="E1348">
        <v>54.2</v>
      </c>
      <c r="F1348">
        <v>170</v>
      </c>
      <c r="G1348" s="4">
        <f t="shared" si="42"/>
        <v>18.754325259515575</v>
      </c>
      <c r="H1348" t="s">
        <v>55</v>
      </c>
      <c r="I1348" t="s">
        <v>80</v>
      </c>
      <c r="J1348">
        <v>145</v>
      </c>
      <c r="K1348">
        <v>89</v>
      </c>
      <c r="L1348">
        <v>120</v>
      </c>
      <c r="M1348">
        <v>3</v>
      </c>
      <c r="N1348" s="5">
        <v>10188.15</v>
      </c>
      <c r="O1348" t="s">
        <v>51</v>
      </c>
      <c r="P1348" t="str">
        <f t="shared" si="43"/>
        <v>Hospital Central de Quelimane</v>
      </c>
      <c r="Q1348" t="s">
        <v>202</v>
      </c>
      <c r="R1348">
        <v>2</v>
      </c>
    </row>
    <row r="1349" spans="1:18" x14ac:dyDescent="0.45">
      <c r="A1349" t="s">
        <v>1434</v>
      </c>
      <c r="B1349" s="3">
        <v>45430</v>
      </c>
      <c r="C1349">
        <v>33</v>
      </c>
      <c r="D1349" t="s">
        <v>27</v>
      </c>
      <c r="E1349">
        <v>61.8</v>
      </c>
      <c r="F1349">
        <v>174.7</v>
      </c>
      <c r="G1349" s="4">
        <f t="shared" si="42"/>
        <v>20.248957326141571</v>
      </c>
      <c r="H1349" t="s">
        <v>21</v>
      </c>
      <c r="I1349" t="s">
        <v>22</v>
      </c>
      <c r="J1349">
        <v>127</v>
      </c>
      <c r="K1349">
        <v>75</v>
      </c>
      <c r="L1349">
        <v>110</v>
      </c>
      <c r="M1349">
        <v>16</v>
      </c>
      <c r="N1349" s="5">
        <v>52366.96</v>
      </c>
      <c r="O1349" t="s">
        <v>67</v>
      </c>
      <c r="P1349" t="str">
        <f t="shared" si="43"/>
        <v>Hospital Provincial de Pemba</v>
      </c>
      <c r="Q1349" t="s">
        <v>24</v>
      </c>
      <c r="R1349">
        <v>3</v>
      </c>
    </row>
    <row r="1350" spans="1:18" x14ac:dyDescent="0.45">
      <c r="A1350" t="s">
        <v>1435</v>
      </c>
      <c r="B1350" s="3">
        <v>45010</v>
      </c>
      <c r="C1350">
        <v>23</v>
      </c>
      <c r="D1350" t="s">
        <v>20</v>
      </c>
      <c r="E1350">
        <v>66.099999999999994</v>
      </c>
      <c r="F1350">
        <v>158.19999999999999</v>
      </c>
      <c r="G1350" s="4">
        <f t="shared" si="42"/>
        <v>26.411222332146892</v>
      </c>
      <c r="H1350" t="s">
        <v>46</v>
      </c>
      <c r="I1350" t="s">
        <v>94</v>
      </c>
      <c r="J1350">
        <v>89</v>
      </c>
      <c r="K1350">
        <v>62</v>
      </c>
      <c r="L1350">
        <v>93</v>
      </c>
      <c r="M1350">
        <v>9</v>
      </c>
      <c r="N1350" s="5">
        <v>21198.51</v>
      </c>
      <c r="O1350" t="s">
        <v>67</v>
      </c>
      <c r="P1350" t="str">
        <f t="shared" si="43"/>
        <v>Hospital Provincial de Pemba</v>
      </c>
      <c r="Q1350" t="s">
        <v>24</v>
      </c>
      <c r="R1350">
        <v>4</v>
      </c>
    </row>
    <row r="1351" spans="1:18" x14ac:dyDescent="0.45">
      <c r="A1351" t="s">
        <v>1436</v>
      </c>
      <c r="B1351" s="3">
        <v>44948</v>
      </c>
      <c r="C1351">
        <v>54</v>
      </c>
      <c r="D1351" t="s">
        <v>27</v>
      </c>
      <c r="E1351">
        <v>55.5</v>
      </c>
      <c r="F1351">
        <v>163.69999999999999</v>
      </c>
      <c r="G1351" s="4">
        <f t="shared" si="42"/>
        <v>20.710740366053944</v>
      </c>
      <c r="H1351" t="s">
        <v>55</v>
      </c>
      <c r="I1351" t="s">
        <v>197</v>
      </c>
      <c r="J1351">
        <v>114</v>
      </c>
      <c r="K1351">
        <v>76</v>
      </c>
      <c r="L1351">
        <v>88</v>
      </c>
      <c r="M1351">
        <v>4</v>
      </c>
      <c r="N1351" s="5">
        <v>12866.11</v>
      </c>
      <c r="O1351" t="s">
        <v>31</v>
      </c>
      <c r="P1351" t="str">
        <f t="shared" si="43"/>
        <v>Hospital Provincial da Matola</v>
      </c>
      <c r="Q1351" t="s">
        <v>24</v>
      </c>
      <c r="R1351">
        <v>5</v>
      </c>
    </row>
    <row r="1352" spans="1:18" x14ac:dyDescent="0.45">
      <c r="A1352" t="s">
        <v>1437</v>
      </c>
      <c r="B1352" s="3">
        <v>45062</v>
      </c>
      <c r="C1352">
        <v>56</v>
      </c>
      <c r="D1352" t="s">
        <v>20</v>
      </c>
      <c r="E1352">
        <v>63.8</v>
      </c>
      <c r="F1352">
        <v>187.3</v>
      </c>
      <c r="G1352" s="4">
        <f t="shared" si="42"/>
        <v>18.186332372612291</v>
      </c>
      <c r="H1352" t="s">
        <v>21</v>
      </c>
      <c r="I1352" t="s">
        <v>123</v>
      </c>
      <c r="J1352">
        <v>124</v>
      </c>
      <c r="K1352">
        <v>87</v>
      </c>
      <c r="L1352">
        <v>70</v>
      </c>
      <c r="M1352">
        <v>5</v>
      </c>
      <c r="N1352" s="5">
        <v>16275.85</v>
      </c>
      <c r="O1352" t="s">
        <v>52</v>
      </c>
      <c r="P1352" t="str">
        <f t="shared" si="43"/>
        <v>Hospital Provincial de Chimoio</v>
      </c>
      <c r="Q1352" t="s">
        <v>76</v>
      </c>
      <c r="R1352">
        <v>4</v>
      </c>
    </row>
    <row r="1353" spans="1:18" x14ac:dyDescent="0.45">
      <c r="A1353" t="s">
        <v>1438</v>
      </c>
      <c r="B1353" s="3">
        <v>44970</v>
      </c>
      <c r="C1353">
        <v>34</v>
      </c>
      <c r="D1353" t="s">
        <v>20</v>
      </c>
      <c r="E1353">
        <v>45.4</v>
      </c>
      <c r="F1353">
        <v>158.9</v>
      </c>
      <c r="G1353" s="4">
        <f t="shared" si="42"/>
        <v>17.980760586172796</v>
      </c>
      <c r="H1353" t="s">
        <v>21</v>
      </c>
      <c r="I1353" t="s">
        <v>22</v>
      </c>
      <c r="J1353">
        <v>133</v>
      </c>
      <c r="K1353">
        <v>78</v>
      </c>
      <c r="L1353">
        <v>65</v>
      </c>
      <c r="M1353">
        <v>1</v>
      </c>
      <c r="N1353" s="5">
        <v>2296.2399999999998</v>
      </c>
      <c r="O1353" t="s">
        <v>51</v>
      </c>
      <c r="P1353" t="str">
        <f t="shared" si="43"/>
        <v>Hospital Central de Quelimane</v>
      </c>
      <c r="Q1353" t="s">
        <v>37</v>
      </c>
      <c r="R1353">
        <v>5</v>
      </c>
    </row>
    <row r="1354" spans="1:18" x14ac:dyDescent="0.45">
      <c r="A1354" t="s">
        <v>1439</v>
      </c>
      <c r="B1354" s="3">
        <v>45314</v>
      </c>
      <c r="C1354">
        <v>18</v>
      </c>
      <c r="D1354" t="s">
        <v>20</v>
      </c>
      <c r="E1354">
        <v>52.1</v>
      </c>
      <c r="F1354">
        <v>160.4</v>
      </c>
      <c r="G1354" s="4">
        <f t="shared" si="42"/>
        <v>20.25018501128724</v>
      </c>
      <c r="H1354" t="s">
        <v>21</v>
      </c>
      <c r="I1354" t="s">
        <v>22</v>
      </c>
      <c r="J1354">
        <v>150</v>
      </c>
      <c r="K1354">
        <v>93</v>
      </c>
      <c r="L1354">
        <v>114</v>
      </c>
      <c r="M1354">
        <v>1</v>
      </c>
      <c r="N1354" s="5">
        <v>3109.54</v>
      </c>
      <c r="O1354" t="s">
        <v>36</v>
      </c>
      <c r="P1354" t="str">
        <f t="shared" si="43"/>
        <v>Hospital Provincial de Lichinga</v>
      </c>
      <c r="Q1354" t="s">
        <v>37</v>
      </c>
      <c r="R1354">
        <v>4</v>
      </c>
    </row>
    <row r="1355" spans="1:18" x14ac:dyDescent="0.45">
      <c r="A1355" t="s">
        <v>1440</v>
      </c>
      <c r="B1355" s="3">
        <v>45089</v>
      </c>
      <c r="C1355">
        <v>43</v>
      </c>
      <c r="D1355" t="s">
        <v>20</v>
      </c>
      <c r="E1355">
        <v>34.799999999999997</v>
      </c>
      <c r="F1355">
        <v>182.3</v>
      </c>
      <c r="G1355" s="4">
        <f t="shared" si="42"/>
        <v>10.471427896545901</v>
      </c>
      <c r="H1355" t="s">
        <v>21</v>
      </c>
      <c r="I1355" t="s">
        <v>22</v>
      </c>
      <c r="J1355">
        <v>146</v>
      </c>
      <c r="K1355">
        <v>87</v>
      </c>
      <c r="L1355">
        <v>101</v>
      </c>
      <c r="M1355">
        <v>2</v>
      </c>
      <c r="N1355" s="5">
        <v>8060.7</v>
      </c>
      <c r="O1355" t="s">
        <v>63</v>
      </c>
      <c r="P1355" t="str">
        <f t="shared" si="43"/>
        <v>Hospital Central de Nampula</v>
      </c>
      <c r="Q1355" t="s">
        <v>24</v>
      </c>
      <c r="R1355">
        <v>4</v>
      </c>
    </row>
    <row r="1356" spans="1:18" x14ac:dyDescent="0.45">
      <c r="A1356" t="s">
        <v>1441</v>
      </c>
      <c r="B1356" s="3">
        <v>45067</v>
      </c>
      <c r="C1356">
        <v>38</v>
      </c>
      <c r="D1356" t="s">
        <v>20</v>
      </c>
      <c r="E1356">
        <v>70.900000000000006</v>
      </c>
      <c r="F1356">
        <v>155.6</v>
      </c>
      <c r="G1356" s="4">
        <f t="shared" si="42"/>
        <v>29.283774228296139</v>
      </c>
      <c r="H1356" t="s">
        <v>21</v>
      </c>
      <c r="I1356" t="s">
        <v>22</v>
      </c>
      <c r="J1356">
        <v>126</v>
      </c>
      <c r="K1356">
        <v>77</v>
      </c>
      <c r="L1356">
        <v>66</v>
      </c>
      <c r="M1356">
        <v>2</v>
      </c>
      <c r="N1356" s="5">
        <v>8538.4</v>
      </c>
      <c r="O1356" t="s">
        <v>36</v>
      </c>
      <c r="P1356" t="str">
        <f t="shared" si="43"/>
        <v>Hospital Provincial de Lichinga</v>
      </c>
      <c r="Q1356" t="s">
        <v>24</v>
      </c>
      <c r="R1356">
        <v>4</v>
      </c>
    </row>
    <row r="1357" spans="1:18" x14ac:dyDescent="0.45">
      <c r="A1357" t="s">
        <v>1442</v>
      </c>
      <c r="B1357" s="3">
        <v>45181</v>
      </c>
      <c r="C1357">
        <v>18</v>
      </c>
      <c r="D1357" t="s">
        <v>27</v>
      </c>
      <c r="E1357">
        <v>64.2</v>
      </c>
      <c r="F1357">
        <v>153.6</v>
      </c>
      <c r="G1357" s="4">
        <f t="shared" si="42"/>
        <v>27.211507161458332</v>
      </c>
      <c r="H1357" t="s">
        <v>46</v>
      </c>
      <c r="I1357" t="s">
        <v>108</v>
      </c>
      <c r="J1357">
        <v>109</v>
      </c>
      <c r="K1357">
        <v>67</v>
      </c>
      <c r="L1357">
        <v>80</v>
      </c>
      <c r="M1357">
        <v>3</v>
      </c>
      <c r="N1357" s="5">
        <v>4572.7700000000004</v>
      </c>
      <c r="O1357" t="s">
        <v>63</v>
      </c>
      <c r="P1357" t="str">
        <f t="shared" si="43"/>
        <v>Hospital Central de Nampula</v>
      </c>
      <c r="Q1357" t="s">
        <v>37</v>
      </c>
      <c r="R1357">
        <v>1</v>
      </c>
    </row>
    <row r="1358" spans="1:18" x14ac:dyDescent="0.45">
      <c r="A1358" t="s">
        <v>1443</v>
      </c>
      <c r="B1358" s="3">
        <v>45324</v>
      </c>
      <c r="C1358">
        <v>42</v>
      </c>
      <c r="D1358" t="s">
        <v>27</v>
      </c>
      <c r="E1358">
        <v>75.599999999999994</v>
      </c>
      <c r="F1358">
        <v>161.69999999999999</v>
      </c>
      <c r="G1358" s="4">
        <f t="shared" si="42"/>
        <v>28.913572512830399</v>
      </c>
      <c r="H1358" t="s">
        <v>21</v>
      </c>
      <c r="I1358" t="s">
        <v>70</v>
      </c>
      <c r="J1358">
        <v>119</v>
      </c>
      <c r="K1358">
        <v>73</v>
      </c>
      <c r="L1358">
        <v>101</v>
      </c>
      <c r="M1358">
        <v>1</v>
      </c>
      <c r="N1358" s="5">
        <v>5931.16</v>
      </c>
      <c r="O1358" t="s">
        <v>23</v>
      </c>
      <c r="P1358" t="str">
        <f t="shared" si="43"/>
        <v>Hospital Central de Maputo</v>
      </c>
      <c r="Q1358" t="s">
        <v>24</v>
      </c>
      <c r="R1358">
        <v>3</v>
      </c>
    </row>
    <row r="1359" spans="1:18" x14ac:dyDescent="0.45">
      <c r="A1359" t="s">
        <v>1444</v>
      </c>
      <c r="B1359" s="3">
        <v>44935</v>
      </c>
      <c r="C1359">
        <v>39</v>
      </c>
      <c r="D1359" t="s">
        <v>20</v>
      </c>
      <c r="E1359">
        <v>68.2</v>
      </c>
      <c r="F1359">
        <v>165.6</v>
      </c>
      <c r="G1359" s="4">
        <f t="shared" si="42"/>
        <v>24.869308501948705</v>
      </c>
      <c r="H1359" t="s">
        <v>21</v>
      </c>
      <c r="I1359" t="s">
        <v>22</v>
      </c>
      <c r="J1359">
        <v>140</v>
      </c>
      <c r="K1359">
        <v>86</v>
      </c>
      <c r="L1359">
        <v>65</v>
      </c>
      <c r="M1359">
        <v>1</v>
      </c>
      <c r="N1359" s="5">
        <v>3696.85</v>
      </c>
      <c r="O1359" t="s">
        <v>30</v>
      </c>
      <c r="P1359" t="str">
        <f t="shared" si="43"/>
        <v>Hospital Provincial de Inhambane</v>
      </c>
      <c r="Q1359" t="s">
        <v>24</v>
      </c>
      <c r="R1359">
        <v>5</v>
      </c>
    </row>
    <row r="1360" spans="1:18" x14ac:dyDescent="0.45">
      <c r="A1360" t="s">
        <v>1445</v>
      </c>
      <c r="B1360" s="3">
        <v>45398</v>
      </c>
      <c r="C1360">
        <v>32</v>
      </c>
      <c r="D1360" t="s">
        <v>27</v>
      </c>
      <c r="E1360">
        <v>44</v>
      </c>
      <c r="F1360">
        <v>154.9</v>
      </c>
      <c r="G1360" s="4">
        <f t="shared" si="42"/>
        <v>18.337910170079944</v>
      </c>
      <c r="H1360" t="s">
        <v>55</v>
      </c>
      <c r="I1360" t="s">
        <v>80</v>
      </c>
      <c r="J1360">
        <v>102</v>
      </c>
      <c r="K1360">
        <v>64</v>
      </c>
      <c r="L1360">
        <v>88</v>
      </c>
      <c r="M1360">
        <v>3</v>
      </c>
      <c r="N1360" s="5">
        <v>8614.07</v>
      </c>
      <c r="O1360" t="s">
        <v>63</v>
      </c>
      <c r="P1360" t="str">
        <f t="shared" si="43"/>
        <v>Hospital Central de Nampula</v>
      </c>
      <c r="Q1360" t="s">
        <v>24</v>
      </c>
      <c r="R1360">
        <v>5</v>
      </c>
    </row>
    <row r="1361" spans="1:18" x14ac:dyDescent="0.45">
      <c r="A1361" t="s">
        <v>1446</v>
      </c>
      <c r="B1361" s="3">
        <v>45431</v>
      </c>
      <c r="C1361">
        <v>37</v>
      </c>
      <c r="D1361" t="s">
        <v>27</v>
      </c>
      <c r="E1361">
        <v>73.5</v>
      </c>
      <c r="F1361">
        <v>170.2</v>
      </c>
      <c r="G1361" s="4">
        <f t="shared" si="42"/>
        <v>25.372790150800675</v>
      </c>
      <c r="H1361" t="s">
        <v>46</v>
      </c>
      <c r="I1361" t="s">
        <v>94</v>
      </c>
      <c r="J1361">
        <v>117</v>
      </c>
      <c r="K1361">
        <v>64</v>
      </c>
      <c r="L1361">
        <v>81</v>
      </c>
      <c r="M1361">
        <v>4</v>
      </c>
      <c r="N1361" s="5">
        <v>13414.61</v>
      </c>
      <c r="O1361" t="s">
        <v>23</v>
      </c>
      <c r="P1361" t="str">
        <f t="shared" si="43"/>
        <v>Hospital Central de Maputo</v>
      </c>
      <c r="Q1361" t="s">
        <v>24</v>
      </c>
      <c r="R1361">
        <v>4</v>
      </c>
    </row>
    <row r="1362" spans="1:18" x14ac:dyDescent="0.45">
      <c r="A1362" t="s">
        <v>1447</v>
      </c>
      <c r="B1362" s="3">
        <v>45050</v>
      </c>
      <c r="C1362">
        <v>31</v>
      </c>
      <c r="D1362" t="s">
        <v>27</v>
      </c>
      <c r="E1362">
        <v>64.900000000000006</v>
      </c>
      <c r="F1362">
        <v>168</v>
      </c>
      <c r="G1362" s="4">
        <f t="shared" si="42"/>
        <v>22.99461451247166</v>
      </c>
      <c r="H1362" t="s">
        <v>91</v>
      </c>
      <c r="I1362" t="s">
        <v>116</v>
      </c>
      <c r="J1362">
        <v>100</v>
      </c>
      <c r="K1362">
        <v>55</v>
      </c>
      <c r="L1362">
        <v>109</v>
      </c>
      <c r="M1362">
        <v>3</v>
      </c>
      <c r="N1362" s="5">
        <v>8495.3799999999992</v>
      </c>
      <c r="O1362" t="s">
        <v>52</v>
      </c>
      <c r="P1362" t="str">
        <f t="shared" si="43"/>
        <v>Hospital Provincial de Chimoio</v>
      </c>
      <c r="Q1362" t="s">
        <v>24</v>
      </c>
      <c r="R1362">
        <v>4</v>
      </c>
    </row>
    <row r="1363" spans="1:18" x14ac:dyDescent="0.45">
      <c r="A1363" t="s">
        <v>1448</v>
      </c>
      <c r="B1363" s="3">
        <v>45344</v>
      </c>
      <c r="C1363">
        <v>55</v>
      </c>
      <c r="D1363" t="s">
        <v>27</v>
      </c>
      <c r="E1363">
        <v>69.599999999999994</v>
      </c>
      <c r="F1363">
        <v>161.19999999999999</v>
      </c>
      <c r="G1363" s="4">
        <f t="shared" si="42"/>
        <v>26.784229937996049</v>
      </c>
      <c r="H1363" t="s">
        <v>21</v>
      </c>
      <c r="I1363" t="s">
        <v>89</v>
      </c>
      <c r="J1363">
        <v>138</v>
      </c>
      <c r="K1363">
        <v>79</v>
      </c>
      <c r="L1363">
        <v>100</v>
      </c>
      <c r="M1363">
        <v>1</v>
      </c>
      <c r="N1363" s="5">
        <v>3964.71</v>
      </c>
      <c r="O1363" t="s">
        <v>43</v>
      </c>
      <c r="P1363" t="str">
        <f t="shared" si="43"/>
        <v>Hospital Central da Beira</v>
      </c>
      <c r="Q1363" t="s">
        <v>202</v>
      </c>
      <c r="R1363">
        <v>1</v>
      </c>
    </row>
    <row r="1364" spans="1:18" x14ac:dyDescent="0.45">
      <c r="A1364" t="s">
        <v>1449</v>
      </c>
      <c r="B1364" s="3">
        <v>45128</v>
      </c>
      <c r="C1364">
        <v>56</v>
      </c>
      <c r="D1364" t="s">
        <v>27</v>
      </c>
      <c r="E1364">
        <v>90.9</v>
      </c>
      <c r="F1364">
        <v>167.1</v>
      </c>
      <c r="G1364" s="4">
        <f t="shared" si="42"/>
        <v>32.554496549545689</v>
      </c>
      <c r="H1364" t="s">
        <v>46</v>
      </c>
      <c r="I1364" t="s">
        <v>47</v>
      </c>
      <c r="J1364">
        <v>135</v>
      </c>
      <c r="K1364">
        <v>82</v>
      </c>
      <c r="L1364">
        <v>85</v>
      </c>
      <c r="M1364">
        <v>1</v>
      </c>
      <c r="N1364" s="5">
        <v>6117.92</v>
      </c>
      <c r="O1364" t="s">
        <v>43</v>
      </c>
      <c r="P1364" t="str">
        <f t="shared" si="43"/>
        <v>Hospital Central da Beira</v>
      </c>
      <c r="Q1364" t="s">
        <v>37</v>
      </c>
      <c r="R1364">
        <v>4</v>
      </c>
    </row>
    <row r="1365" spans="1:18" x14ac:dyDescent="0.45">
      <c r="A1365" t="s">
        <v>1450</v>
      </c>
      <c r="B1365" s="3">
        <v>44982</v>
      </c>
      <c r="C1365">
        <v>23</v>
      </c>
      <c r="D1365" t="s">
        <v>27</v>
      </c>
      <c r="E1365">
        <v>63.8</v>
      </c>
      <c r="F1365">
        <v>159.19999999999999</v>
      </c>
      <c r="G1365" s="4">
        <f t="shared" si="42"/>
        <v>25.172975429913389</v>
      </c>
      <c r="H1365" t="s">
        <v>41</v>
      </c>
      <c r="I1365" t="s">
        <v>113</v>
      </c>
      <c r="J1365">
        <v>138</v>
      </c>
      <c r="K1365">
        <v>85</v>
      </c>
      <c r="L1365">
        <v>104</v>
      </c>
      <c r="M1365">
        <v>2</v>
      </c>
      <c r="N1365" s="5">
        <v>5820.53</v>
      </c>
      <c r="O1365" t="s">
        <v>36</v>
      </c>
      <c r="P1365" t="str">
        <f t="shared" si="43"/>
        <v>Hospital Provincial de Lichinga</v>
      </c>
      <c r="Q1365" t="s">
        <v>24</v>
      </c>
      <c r="R1365">
        <v>4</v>
      </c>
    </row>
    <row r="1366" spans="1:18" x14ac:dyDescent="0.45">
      <c r="A1366" t="s">
        <v>1451</v>
      </c>
      <c r="B1366" s="3">
        <v>45026</v>
      </c>
      <c r="C1366">
        <v>57</v>
      </c>
      <c r="D1366" t="s">
        <v>27</v>
      </c>
      <c r="E1366">
        <v>58.4</v>
      </c>
      <c r="F1366">
        <v>162.19999999999999</v>
      </c>
      <c r="G1366" s="4">
        <f t="shared" si="42"/>
        <v>22.197862011399973</v>
      </c>
      <c r="H1366" t="s">
        <v>46</v>
      </c>
      <c r="I1366" t="s">
        <v>47</v>
      </c>
      <c r="J1366">
        <v>134</v>
      </c>
      <c r="K1366">
        <v>74</v>
      </c>
      <c r="L1366">
        <v>78</v>
      </c>
      <c r="M1366">
        <v>5</v>
      </c>
      <c r="N1366" s="5">
        <v>17798.07</v>
      </c>
      <c r="O1366" t="s">
        <v>52</v>
      </c>
      <c r="P1366" t="str">
        <f t="shared" si="43"/>
        <v>Hospital Provincial de Chimoio</v>
      </c>
      <c r="Q1366" t="s">
        <v>24</v>
      </c>
      <c r="R1366">
        <v>5</v>
      </c>
    </row>
    <row r="1367" spans="1:18" x14ac:dyDescent="0.45">
      <c r="A1367" t="s">
        <v>1452</v>
      </c>
      <c r="B1367" s="3">
        <v>45234</v>
      </c>
      <c r="C1367">
        <v>22</v>
      </c>
      <c r="D1367" t="s">
        <v>27</v>
      </c>
      <c r="E1367">
        <v>56.5</v>
      </c>
      <c r="F1367">
        <v>166.8</v>
      </c>
      <c r="G1367" s="4">
        <f t="shared" si="42"/>
        <v>20.307495011185292</v>
      </c>
      <c r="H1367" t="s">
        <v>55</v>
      </c>
      <c r="I1367" t="s">
        <v>80</v>
      </c>
      <c r="J1367">
        <v>106</v>
      </c>
      <c r="K1367">
        <v>62</v>
      </c>
      <c r="L1367">
        <v>110</v>
      </c>
      <c r="M1367">
        <v>1</v>
      </c>
      <c r="N1367" s="5">
        <v>5968.29</v>
      </c>
      <c r="O1367" t="s">
        <v>52</v>
      </c>
      <c r="P1367" t="str">
        <f t="shared" si="43"/>
        <v>Hospital Provincial de Chimoio</v>
      </c>
      <c r="Q1367" t="s">
        <v>24</v>
      </c>
      <c r="R1367">
        <v>4</v>
      </c>
    </row>
    <row r="1368" spans="1:18" x14ac:dyDescent="0.45">
      <c r="A1368" t="s">
        <v>1453</v>
      </c>
      <c r="B1368" s="3">
        <v>44977</v>
      </c>
      <c r="C1368">
        <v>64</v>
      </c>
      <c r="D1368" t="s">
        <v>20</v>
      </c>
      <c r="E1368">
        <v>65.599999999999994</v>
      </c>
      <c r="F1368">
        <v>162.5</v>
      </c>
      <c r="G1368" s="4">
        <f t="shared" si="42"/>
        <v>24.842603550295856</v>
      </c>
      <c r="H1368" t="s">
        <v>34</v>
      </c>
      <c r="I1368" t="s">
        <v>35</v>
      </c>
      <c r="J1368">
        <v>120</v>
      </c>
      <c r="K1368">
        <v>73</v>
      </c>
      <c r="L1368">
        <v>127</v>
      </c>
      <c r="M1368">
        <v>6</v>
      </c>
      <c r="N1368" s="5">
        <v>7959</v>
      </c>
      <c r="O1368" t="s">
        <v>23</v>
      </c>
      <c r="P1368" t="str">
        <f t="shared" si="43"/>
        <v>Hospital Central de Maputo</v>
      </c>
      <c r="Q1368" t="s">
        <v>24</v>
      </c>
      <c r="R1368">
        <v>4</v>
      </c>
    </row>
    <row r="1369" spans="1:18" x14ac:dyDescent="0.45">
      <c r="A1369" t="s">
        <v>1454</v>
      </c>
      <c r="B1369" s="3">
        <v>45149</v>
      </c>
      <c r="C1369">
        <v>34</v>
      </c>
      <c r="D1369" t="s">
        <v>27</v>
      </c>
      <c r="E1369">
        <v>68.2</v>
      </c>
      <c r="F1369">
        <v>174.1</v>
      </c>
      <c r="G1369" s="4">
        <f t="shared" si="42"/>
        <v>22.500223517616327</v>
      </c>
      <c r="H1369" t="s">
        <v>99</v>
      </c>
      <c r="I1369" t="s">
        <v>100</v>
      </c>
      <c r="J1369">
        <v>131</v>
      </c>
      <c r="K1369">
        <v>86</v>
      </c>
      <c r="L1369">
        <v>151</v>
      </c>
      <c r="M1369">
        <v>2</v>
      </c>
      <c r="N1369" s="5">
        <v>4168.49</v>
      </c>
      <c r="O1369" t="s">
        <v>57</v>
      </c>
      <c r="P1369" t="str">
        <f t="shared" si="43"/>
        <v>Hospital Provincial de Tete</v>
      </c>
      <c r="Q1369" t="s">
        <v>24</v>
      </c>
      <c r="R1369">
        <v>3</v>
      </c>
    </row>
    <row r="1370" spans="1:18" x14ac:dyDescent="0.45">
      <c r="A1370" t="s">
        <v>1455</v>
      </c>
      <c r="B1370" s="3">
        <v>45094</v>
      </c>
      <c r="C1370">
        <v>52</v>
      </c>
      <c r="D1370" t="s">
        <v>27</v>
      </c>
      <c r="E1370">
        <v>63.3</v>
      </c>
      <c r="F1370">
        <v>156.9</v>
      </c>
      <c r="G1370" s="4">
        <f t="shared" si="42"/>
        <v>25.713300356939609</v>
      </c>
      <c r="H1370" t="s">
        <v>34</v>
      </c>
      <c r="I1370" t="s">
        <v>138</v>
      </c>
      <c r="J1370">
        <v>133</v>
      </c>
      <c r="K1370">
        <v>89</v>
      </c>
      <c r="L1370">
        <v>78</v>
      </c>
      <c r="M1370">
        <v>4</v>
      </c>
      <c r="N1370" s="5">
        <v>7917.52</v>
      </c>
      <c r="O1370" t="s">
        <v>30</v>
      </c>
      <c r="P1370" t="str">
        <f t="shared" si="43"/>
        <v>Hospital Provincial de Inhambane</v>
      </c>
      <c r="Q1370" t="s">
        <v>24</v>
      </c>
      <c r="R1370">
        <v>3</v>
      </c>
    </row>
    <row r="1371" spans="1:18" x14ac:dyDescent="0.45">
      <c r="A1371" t="s">
        <v>1456</v>
      </c>
      <c r="B1371" s="3">
        <v>45629</v>
      </c>
      <c r="C1371">
        <v>59</v>
      </c>
      <c r="D1371" t="s">
        <v>20</v>
      </c>
      <c r="E1371">
        <v>79.2</v>
      </c>
      <c r="F1371">
        <v>170.7</v>
      </c>
      <c r="G1371" s="4">
        <f t="shared" si="42"/>
        <v>27.180543672647421</v>
      </c>
      <c r="H1371" t="s">
        <v>21</v>
      </c>
      <c r="I1371" t="s">
        <v>22</v>
      </c>
      <c r="J1371">
        <v>155</v>
      </c>
      <c r="K1371">
        <v>97</v>
      </c>
      <c r="L1371">
        <v>123</v>
      </c>
      <c r="M1371">
        <v>2</v>
      </c>
      <c r="N1371" s="5">
        <v>4407.84</v>
      </c>
      <c r="O1371" t="s">
        <v>38</v>
      </c>
      <c r="P1371" t="str">
        <f t="shared" si="43"/>
        <v>Hospital Provincial de Xai-Xai</v>
      </c>
      <c r="Q1371" t="s">
        <v>24</v>
      </c>
      <c r="R1371">
        <v>4</v>
      </c>
    </row>
    <row r="1372" spans="1:18" x14ac:dyDescent="0.45">
      <c r="A1372" t="s">
        <v>1457</v>
      </c>
      <c r="B1372" s="3">
        <v>45464</v>
      </c>
      <c r="C1372">
        <v>38</v>
      </c>
      <c r="D1372" t="s">
        <v>27</v>
      </c>
      <c r="E1372">
        <v>74.2</v>
      </c>
      <c r="F1372">
        <v>163.80000000000001</v>
      </c>
      <c r="G1372" s="4">
        <f t="shared" si="42"/>
        <v>27.655155860284065</v>
      </c>
      <c r="H1372" t="s">
        <v>99</v>
      </c>
      <c r="I1372" t="s">
        <v>151</v>
      </c>
      <c r="J1372">
        <v>93</v>
      </c>
      <c r="K1372">
        <v>55</v>
      </c>
      <c r="L1372">
        <v>102</v>
      </c>
      <c r="M1372">
        <v>1</v>
      </c>
      <c r="N1372" s="5">
        <v>3740.9</v>
      </c>
      <c r="O1372" t="s">
        <v>67</v>
      </c>
      <c r="P1372" t="str">
        <f t="shared" si="43"/>
        <v>Hospital Provincial de Pemba</v>
      </c>
      <c r="Q1372" t="s">
        <v>24</v>
      </c>
      <c r="R1372">
        <v>4</v>
      </c>
    </row>
    <row r="1373" spans="1:18" x14ac:dyDescent="0.45">
      <c r="A1373" t="s">
        <v>1458</v>
      </c>
      <c r="B1373" s="3">
        <v>45550</v>
      </c>
      <c r="C1373">
        <v>7</v>
      </c>
      <c r="D1373" t="s">
        <v>20</v>
      </c>
      <c r="E1373">
        <v>26.9</v>
      </c>
      <c r="F1373">
        <v>142.5</v>
      </c>
      <c r="G1373" s="4">
        <f t="shared" si="42"/>
        <v>13.247152970144658</v>
      </c>
      <c r="H1373" t="s">
        <v>28</v>
      </c>
      <c r="I1373" t="s">
        <v>29</v>
      </c>
      <c r="J1373">
        <v>95</v>
      </c>
      <c r="K1373">
        <v>61</v>
      </c>
      <c r="L1373">
        <v>87</v>
      </c>
      <c r="M1373">
        <v>1</v>
      </c>
      <c r="N1373" s="5">
        <v>6322.22</v>
      </c>
      <c r="O1373" t="s">
        <v>51</v>
      </c>
      <c r="P1373" t="str">
        <f t="shared" si="43"/>
        <v>Hospital Central de Quelimane</v>
      </c>
      <c r="Q1373" t="s">
        <v>24</v>
      </c>
      <c r="R1373">
        <v>3</v>
      </c>
    </row>
    <row r="1374" spans="1:18" x14ac:dyDescent="0.45">
      <c r="A1374" t="s">
        <v>1459</v>
      </c>
      <c r="B1374" s="3">
        <v>45387</v>
      </c>
      <c r="C1374">
        <v>63</v>
      </c>
      <c r="D1374" t="s">
        <v>27</v>
      </c>
      <c r="E1374">
        <v>59.4</v>
      </c>
      <c r="F1374">
        <v>171.6</v>
      </c>
      <c r="G1374" s="4">
        <f t="shared" si="42"/>
        <v>20.172135556750941</v>
      </c>
      <c r="H1374" t="s">
        <v>41</v>
      </c>
      <c r="I1374" t="s">
        <v>113</v>
      </c>
      <c r="J1374">
        <v>147</v>
      </c>
      <c r="K1374">
        <v>81</v>
      </c>
      <c r="L1374">
        <v>110</v>
      </c>
      <c r="M1374">
        <v>10</v>
      </c>
      <c r="N1374" s="5">
        <v>26480.26</v>
      </c>
      <c r="O1374" t="s">
        <v>63</v>
      </c>
      <c r="P1374" t="str">
        <f t="shared" si="43"/>
        <v>Hospital Central de Nampula</v>
      </c>
      <c r="Q1374" t="s">
        <v>24</v>
      </c>
      <c r="R1374">
        <v>4</v>
      </c>
    </row>
    <row r="1375" spans="1:18" x14ac:dyDescent="0.45">
      <c r="A1375" t="s">
        <v>1460</v>
      </c>
      <c r="B1375" s="3">
        <v>44980</v>
      </c>
      <c r="C1375">
        <v>41</v>
      </c>
      <c r="D1375" t="s">
        <v>20</v>
      </c>
      <c r="E1375">
        <v>73</v>
      </c>
      <c r="F1375">
        <v>159</v>
      </c>
      <c r="G1375" s="4">
        <f t="shared" si="42"/>
        <v>28.875440053795337</v>
      </c>
      <c r="H1375" t="s">
        <v>91</v>
      </c>
      <c r="I1375" t="s">
        <v>92</v>
      </c>
      <c r="J1375">
        <v>101</v>
      </c>
      <c r="K1375">
        <v>55</v>
      </c>
      <c r="L1375">
        <v>99</v>
      </c>
      <c r="M1375">
        <v>5</v>
      </c>
      <c r="N1375" s="5">
        <v>6998.37</v>
      </c>
      <c r="O1375" t="s">
        <v>51</v>
      </c>
      <c r="P1375" t="str">
        <f t="shared" si="43"/>
        <v>Hospital Central de Quelimane</v>
      </c>
      <c r="Q1375" t="s">
        <v>24</v>
      </c>
      <c r="R1375">
        <v>3</v>
      </c>
    </row>
    <row r="1376" spans="1:18" x14ac:dyDescent="0.45">
      <c r="A1376" t="s">
        <v>1461</v>
      </c>
      <c r="B1376" s="3">
        <v>45434</v>
      </c>
      <c r="C1376">
        <v>48</v>
      </c>
      <c r="D1376" t="s">
        <v>27</v>
      </c>
      <c r="E1376">
        <v>67.400000000000006</v>
      </c>
      <c r="F1376">
        <v>148</v>
      </c>
      <c r="G1376" s="4">
        <f t="shared" si="42"/>
        <v>30.770635500365234</v>
      </c>
      <c r="H1376" t="s">
        <v>21</v>
      </c>
      <c r="I1376" t="s">
        <v>89</v>
      </c>
      <c r="J1376">
        <v>131</v>
      </c>
      <c r="K1376">
        <v>80</v>
      </c>
      <c r="L1376">
        <v>75</v>
      </c>
      <c r="M1376">
        <v>10</v>
      </c>
      <c r="N1376" s="5">
        <v>30294.79</v>
      </c>
      <c r="O1376" t="s">
        <v>31</v>
      </c>
      <c r="P1376" t="str">
        <f t="shared" si="43"/>
        <v>Hospital Provincial da Matola</v>
      </c>
      <c r="Q1376" t="s">
        <v>37</v>
      </c>
      <c r="R1376">
        <v>3</v>
      </c>
    </row>
    <row r="1377" spans="1:18" x14ac:dyDescent="0.45">
      <c r="A1377" t="s">
        <v>1462</v>
      </c>
      <c r="B1377" s="3">
        <v>45341</v>
      </c>
      <c r="C1377">
        <v>30</v>
      </c>
      <c r="D1377" t="s">
        <v>27</v>
      </c>
      <c r="E1377">
        <v>48.1</v>
      </c>
      <c r="F1377">
        <v>152.4</v>
      </c>
      <c r="G1377" s="4">
        <f t="shared" si="42"/>
        <v>20.709763641749504</v>
      </c>
      <c r="H1377" t="s">
        <v>99</v>
      </c>
      <c r="I1377" t="s">
        <v>151</v>
      </c>
      <c r="J1377">
        <v>135</v>
      </c>
      <c r="K1377">
        <v>79</v>
      </c>
      <c r="L1377">
        <v>101</v>
      </c>
      <c r="M1377">
        <v>5</v>
      </c>
      <c r="N1377" s="5">
        <v>9739.56</v>
      </c>
      <c r="O1377" t="s">
        <v>30</v>
      </c>
      <c r="P1377" t="str">
        <f t="shared" si="43"/>
        <v>Hospital Provincial de Inhambane</v>
      </c>
      <c r="Q1377" t="s">
        <v>24</v>
      </c>
      <c r="R1377">
        <v>4</v>
      </c>
    </row>
    <row r="1378" spans="1:18" x14ac:dyDescent="0.45">
      <c r="A1378" t="s">
        <v>1463</v>
      </c>
      <c r="B1378" s="3">
        <v>45033</v>
      </c>
      <c r="C1378">
        <v>18</v>
      </c>
      <c r="D1378" t="s">
        <v>20</v>
      </c>
      <c r="E1378">
        <v>41.1</v>
      </c>
      <c r="F1378">
        <v>162.80000000000001</v>
      </c>
      <c r="G1378" s="4">
        <f t="shared" si="42"/>
        <v>15.507186883108258</v>
      </c>
      <c r="H1378" t="s">
        <v>34</v>
      </c>
      <c r="I1378" t="s">
        <v>35</v>
      </c>
      <c r="J1378">
        <v>101</v>
      </c>
      <c r="K1378">
        <v>55</v>
      </c>
      <c r="L1378">
        <v>81</v>
      </c>
      <c r="M1378">
        <v>3</v>
      </c>
      <c r="N1378" s="5">
        <v>9496.33</v>
      </c>
      <c r="O1378" t="s">
        <v>57</v>
      </c>
      <c r="P1378" t="str">
        <f t="shared" si="43"/>
        <v>Hospital Provincial de Tete</v>
      </c>
      <c r="Q1378" t="s">
        <v>24</v>
      </c>
      <c r="R1378">
        <v>4</v>
      </c>
    </row>
    <row r="1379" spans="1:18" x14ac:dyDescent="0.45">
      <c r="A1379" t="s">
        <v>1464</v>
      </c>
      <c r="B1379" s="3">
        <v>45248</v>
      </c>
      <c r="C1379">
        <v>25</v>
      </c>
      <c r="D1379" t="s">
        <v>27</v>
      </c>
      <c r="E1379">
        <v>73.7</v>
      </c>
      <c r="F1379">
        <v>168.8</v>
      </c>
      <c r="G1379" s="4">
        <f t="shared" si="42"/>
        <v>25.865602749264387</v>
      </c>
      <c r="H1379" t="s">
        <v>99</v>
      </c>
      <c r="I1379" t="s">
        <v>103</v>
      </c>
      <c r="J1379">
        <v>117</v>
      </c>
      <c r="K1379">
        <v>68</v>
      </c>
      <c r="L1379">
        <v>109</v>
      </c>
      <c r="M1379">
        <v>14</v>
      </c>
      <c r="N1379" s="5">
        <v>22664.89</v>
      </c>
      <c r="O1379" t="s">
        <v>23</v>
      </c>
      <c r="P1379" t="str">
        <f t="shared" si="43"/>
        <v>Hospital Central de Maputo</v>
      </c>
      <c r="Q1379" t="s">
        <v>24</v>
      </c>
      <c r="R1379">
        <v>4</v>
      </c>
    </row>
    <row r="1380" spans="1:18" x14ac:dyDescent="0.45">
      <c r="A1380" t="s">
        <v>1465</v>
      </c>
      <c r="B1380" s="3">
        <v>45647</v>
      </c>
      <c r="C1380">
        <v>58</v>
      </c>
      <c r="D1380" t="s">
        <v>20</v>
      </c>
      <c r="E1380">
        <v>72.7</v>
      </c>
      <c r="F1380">
        <v>159.4</v>
      </c>
      <c r="G1380" s="4">
        <f t="shared" si="42"/>
        <v>28.612629858833863</v>
      </c>
      <c r="H1380" t="s">
        <v>46</v>
      </c>
      <c r="I1380" t="s">
        <v>47</v>
      </c>
      <c r="J1380">
        <v>131</v>
      </c>
      <c r="K1380">
        <v>79</v>
      </c>
      <c r="L1380">
        <v>119</v>
      </c>
      <c r="M1380">
        <v>1</v>
      </c>
      <c r="N1380" s="5">
        <v>4834.0600000000004</v>
      </c>
      <c r="O1380" t="s">
        <v>36</v>
      </c>
      <c r="P1380" t="str">
        <f t="shared" si="43"/>
        <v>Hospital Provincial de Lichinga</v>
      </c>
      <c r="Q1380" t="s">
        <v>37</v>
      </c>
      <c r="R1380">
        <v>3</v>
      </c>
    </row>
    <row r="1381" spans="1:18" x14ac:dyDescent="0.45">
      <c r="A1381" t="s">
        <v>1466</v>
      </c>
      <c r="B1381" s="3">
        <v>45124</v>
      </c>
      <c r="C1381">
        <v>40</v>
      </c>
      <c r="D1381" t="s">
        <v>27</v>
      </c>
      <c r="E1381">
        <v>86.3</v>
      </c>
      <c r="F1381">
        <v>171.8</v>
      </c>
      <c r="G1381" s="4">
        <f t="shared" si="42"/>
        <v>29.239132055168781</v>
      </c>
      <c r="H1381" t="s">
        <v>34</v>
      </c>
      <c r="I1381" t="s">
        <v>126</v>
      </c>
      <c r="J1381">
        <v>108</v>
      </c>
      <c r="K1381">
        <v>62</v>
      </c>
      <c r="L1381">
        <v>83</v>
      </c>
      <c r="M1381">
        <v>4</v>
      </c>
      <c r="N1381" s="5">
        <v>6382.28</v>
      </c>
      <c r="O1381" t="s">
        <v>52</v>
      </c>
      <c r="P1381" t="str">
        <f t="shared" si="43"/>
        <v>Hospital Provincial de Chimoio</v>
      </c>
      <c r="Q1381" t="s">
        <v>24</v>
      </c>
      <c r="R1381">
        <v>5</v>
      </c>
    </row>
    <row r="1382" spans="1:18" x14ac:dyDescent="0.45">
      <c r="A1382" t="s">
        <v>1467</v>
      </c>
      <c r="B1382" s="3">
        <v>45136</v>
      </c>
      <c r="C1382">
        <v>18</v>
      </c>
      <c r="D1382" t="s">
        <v>27</v>
      </c>
      <c r="E1382">
        <v>70.2</v>
      </c>
      <c r="F1382">
        <v>175.3</v>
      </c>
      <c r="G1382" s="4">
        <f t="shared" si="42"/>
        <v>22.844059356806309</v>
      </c>
      <c r="H1382" t="s">
        <v>41</v>
      </c>
      <c r="I1382" t="s">
        <v>161</v>
      </c>
      <c r="J1382">
        <v>116</v>
      </c>
      <c r="K1382">
        <v>71</v>
      </c>
      <c r="L1382">
        <v>83</v>
      </c>
      <c r="M1382">
        <v>4</v>
      </c>
      <c r="N1382" s="5">
        <v>13904.31</v>
      </c>
      <c r="O1382" t="s">
        <v>51</v>
      </c>
      <c r="P1382" t="str">
        <f t="shared" si="43"/>
        <v>Hospital Central de Quelimane</v>
      </c>
      <c r="Q1382" t="s">
        <v>24</v>
      </c>
      <c r="R1382">
        <v>4</v>
      </c>
    </row>
    <row r="1383" spans="1:18" x14ac:dyDescent="0.45">
      <c r="A1383" t="s">
        <v>1468</v>
      </c>
      <c r="B1383" s="3">
        <v>45240</v>
      </c>
      <c r="C1383">
        <v>41</v>
      </c>
      <c r="D1383" t="s">
        <v>27</v>
      </c>
      <c r="E1383">
        <v>76.7</v>
      </c>
      <c r="F1383">
        <v>151.30000000000001</v>
      </c>
      <c r="G1383" s="4">
        <f t="shared" si="42"/>
        <v>33.505608367053718</v>
      </c>
      <c r="H1383" t="s">
        <v>46</v>
      </c>
      <c r="I1383" t="s">
        <v>108</v>
      </c>
      <c r="J1383">
        <v>110</v>
      </c>
      <c r="K1383">
        <v>73</v>
      </c>
      <c r="L1383">
        <v>76</v>
      </c>
      <c r="M1383">
        <v>5</v>
      </c>
      <c r="N1383" s="5">
        <v>12287.58</v>
      </c>
      <c r="O1383" t="s">
        <v>52</v>
      </c>
      <c r="P1383" t="str">
        <f t="shared" si="43"/>
        <v>Hospital Provincial de Chimoio</v>
      </c>
      <c r="Q1383" t="s">
        <v>76</v>
      </c>
      <c r="R1383">
        <v>5</v>
      </c>
    </row>
    <row r="1384" spans="1:18" x14ac:dyDescent="0.45">
      <c r="A1384" t="s">
        <v>1469</v>
      </c>
      <c r="B1384" s="3">
        <v>45382</v>
      </c>
      <c r="C1384">
        <v>3</v>
      </c>
      <c r="D1384" t="s">
        <v>20</v>
      </c>
      <c r="E1384">
        <v>25.9</v>
      </c>
      <c r="F1384">
        <v>111.6</v>
      </c>
      <c r="G1384" s="4">
        <f t="shared" si="42"/>
        <v>20.795596151128589</v>
      </c>
      <c r="H1384" t="s">
        <v>28</v>
      </c>
      <c r="I1384" t="s">
        <v>29</v>
      </c>
      <c r="J1384">
        <v>97</v>
      </c>
      <c r="K1384">
        <v>64</v>
      </c>
      <c r="L1384">
        <v>73</v>
      </c>
      <c r="M1384">
        <v>1</v>
      </c>
      <c r="N1384" s="5">
        <v>2111.3000000000002</v>
      </c>
      <c r="O1384" t="s">
        <v>30</v>
      </c>
      <c r="P1384" t="str">
        <f t="shared" si="43"/>
        <v>Hospital Provincial de Inhambane</v>
      </c>
      <c r="Q1384" t="s">
        <v>37</v>
      </c>
      <c r="R1384">
        <v>5</v>
      </c>
    </row>
    <row r="1385" spans="1:18" x14ac:dyDescent="0.45">
      <c r="A1385" t="s">
        <v>1470</v>
      </c>
      <c r="B1385" s="3">
        <v>45627</v>
      </c>
      <c r="C1385">
        <v>25</v>
      </c>
      <c r="D1385" t="s">
        <v>27</v>
      </c>
      <c r="E1385">
        <v>55.2</v>
      </c>
      <c r="F1385">
        <v>174.7</v>
      </c>
      <c r="G1385" s="4">
        <f t="shared" si="42"/>
        <v>18.086447320437131</v>
      </c>
      <c r="H1385" t="s">
        <v>34</v>
      </c>
      <c r="I1385" t="s">
        <v>35</v>
      </c>
      <c r="J1385">
        <v>127</v>
      </c>
      <c r="K1385">
        <v>74</v>
      </c>
      <c r="L1385">
        <v>104</v>
      </c>
      <c r="M1385">
        <v>1</v>
      </c>
      <c r="N1385" s="5">
        <v>4511.72</v>
      </c>
      <c r="O1385" t="s">
        <v>43</v>
      </c>
      <c r="P1385" t="str">
        <f t="shared" si="43"/>
        <v>Hospital Central da Beira</v>
      </c>
      <c r="Q1385" t="s">
        <v>24</v>
      </c>
      <c r="R1385">
        <v>2</v>
      </c>
    </row>
    <row r="1386" spans="1:18" x14ac:dyDescent="0.45">
      <c r="A1386" t="s">
        <v>1471</v>
      </c>
      <c r="B1386" s="3">
        <v>45463</v>
      </c>
      <c r="C1386">
        <v>42</v>
      </c>
      <c r="D1386" t="s">
        <v>27</v>
      </c>
      <c r="E1386">
        <v>62.9</v>
      </c>
      <c r="F1386">
        <v>153.9</v>
      </c>
      <c r="G1386" s="4">
        <f t="shared" si="42"/>
        <v>26.556657086848709</v>
      </c>
      <c r="H1386" t="s">
        <v>91</v>
      </c>
      <c r="I1386" t="s">
        <v>110</v>
      </c>
      <c r="J1386">
        <v>120</v>
      </c>
      <c r="K1386">
        <v>79</v>
      </c>
      <c r="L1386">
        <v>97</v>
      </c>
      <c r="M1386">
        <v>1</v>
      </c>
      <c r="N1386" s="5">
        <v>2287.86</v>
      </c>
      <c r="O1386" t="s">
        <v>38</v>
      </c>
      <c r="P1386" t="str">
        <f t="shared" si="43"/>
        <v>Hospital Provincial de Xai-Xai</v>
      </c>
      <c r="Q1386" t="s">
        <v>24</v>
      </c>
      <c r="R1386">
        <v>2</v>
      </c>
    </row>
    <row r="1387" spans="1:18" x14ac:dyDescent="0.45">
      <c r="A1387" t="s">
        <v>1472</v>
      </c>
      <c r="B1387" s="3">
        <v>45451</v>
      </c>
      <c r="C1387">
        <v>68</v>
      </c>
      <c r="D1387" t="s">
        <v>27</v>
      </c>
      <c r="E1387">
        <v>67.7</v>
      </c>
      <c r="F1387">
        <v>163.5</v>
      </c>
      <c r="G1387" s="4">
        <f t="shared" si="42"/>
        <v>25.325215797398275</v>
      </c>
      <c r="H1387" t="s">
        <v>34</v>
      </c>
      <c r="I1387" t="s">
        <v>138</v>
      </c>
      <c r="J1387">
        <v>138</v>
      </c>
      <c r="K1387">
        <v>79</v>
      </c>
      <c r="L1387">
        <v>88</v>
      </c>
      <c r="M1387">
        <v>2</v>
      </c>
      <c r="N1387" s="5">
        <v>4460.21</v>
      </c>
      <c r="O1387" t="s">
        <v>43</v>
      </c>
      <c r="P1387" t="str">
        <f t="shared" si="43"/>
        <v>Hospital Central da Beira</v>
      </c>
      <c r="Q1387" t="s">
        <v>24</v>
      </c>
      <c r="R1387">
        <v>2</v>
      </c>
    </row>
    <row r="1388" spans="1:18" x14ac:dyDescent="0.45">
      <c r="A1388" t="s">
        <v>1473</v>
      </c>
      <c r="B1388" s="3">
        <v>44947</v>
      </c>
      <c r="C1388">
        <v>60</v>
      </c>
      <c r="D1388" t="s">
        <v>20</v>
      </c>
      <c r="E1388">
        <v>68.7</v>
      </c>
      <c r="F1388">
        <v>166.5</v>
      </c>
      <c r="G1388" s="4">
        <f t="shared" si="42"/>
        <v>24.781538295051806</v>
      </c>
      <c r="H1388" t="s">
        <v>91</v>
      </c>
      <c r="I1388" t="s">
        <v>116</v>
      </c>
      <c r="J1388">
        <v>130</v>
      </c>
      <c r="K1388">
        <v>79</v>
      </c>
      <c r="L1388">
        <v>87</v>
      </c>
      <c r="M1388">
        <v>1</v>
      </c>
      <c r="N1388" s="5">
        <v>5362.58</v>
      </c>
      <c r="O1388" t="s">
        <v>52</v>
      </c>
      <c r="P1388" t="str">
        <f t="shared" si="43"/>
        <v>Hospital Provincial de Chimoio</v>
      </c>
      <c r="Q1388" t="s">
        <v>24</v>
      </c>
      <c r="R1388">
        <v>3</v>
      </c>
    </row>
    <row r="1389" spans="1:18" x14ac:dyDescent="0.45">
      <c r="A1389" t="s">
        <v>1474</v>
      </c>
      <c r="B1389" s="3">
        <v>45550</v>
      </c>
      <c r="C1389">
        <v>43</v>
      </c>
      <c r="D1389" t="s">
        <v>27</v>
      </c>
      <c r="E1389">
        <v>52.9</v>
      </c>
      <c r="F1389">
        <v>176</v>
      </c>
      <c r="G1389" s="4">
        <f t="shared" si="42"/>
        <v>17.077737603305785</v>
      </c>
      <c r="H1389" t="s">
        <v>46</v>
      </c>
      <c r="I1389" t="s">
        <v>47</v>
      </c>
      <c r="J1389">
        <v>110</v>
      </c>
      <c r="K1389">
        <v>75</v>
      </c>
      <c r="L1389">
        <v>100</v>
      </c>
      <c r="M1389">
        <v>3</v>
      </c>
      <c r="N1389" s="5">
        <v>12139.06</v>
      </c>
      <c r="O1389" t="s">
        <v>63</v>
      </c>
      <c r="P1389" t="str">
        <f t="shared" si="43"/>
        <v>Hospital Central de Nampula</v>
      </c>
      <c r="Q1389" t="s">
        <v>37</v>
      </c>
      <c r="R1389">
        <v>3</v>
      </c>
    </row>
    <row r="1390" spans="1:18" x14ac:dyDescent="0.45">
      <c r="A1390" t="s">
        <v>1475</v>
      </c>
      <c r="B1390" s="3">
        <v>45206</v>
      </c>
      <c r="C1390">
        <v>30</v>
      </c>
      <c r="D1390" t="s">
        <v>27</v>
      </c>
      <c r="E1390">
        <v>56.7</v>
      </c>
      <c r="F1390">
        <v>161.5</v>
      </c>
      <c r="G1390" s="4">
        <f t="shared" si="42"/>
        <v>21.738922063855689</v>
      </c>
      <c r="H1390" t="s">
        <v>34</v>
      </c>
      <c r="I1390" t="s">
        <v>126</v>
      </c>
      <c r="J1390">
        <v>118</v>
      </c>
      <c r="K1390">
        <v>78</v>
      </c>
      <c r="L1390">
        <v>90</v>
      </c>
      <c r="M1390">
        <v>1</v>
      </c>
      <c r="N1390" s="5">
        <v>4306.57</v>
      </c>
      <c r="O1390" t="s">
        <v>30</v>
      </c>
      <c r="P1390" t="str">
        <f t="shared" si="43"/>
        <v>Hospital Provincial de Inhambane</v>
      </c>
      <c r="Q1390" t="s">
        <v>24</v>
      </c>
      <c r="R1390">
        <v>3</v>
      </c>
    </row>
    <row r="1391" spans="1:18" x14ac:dyDescent="0.45">
      <c r="A1391" t="s">
        <v>1476</v>
      </c>
      <c r="B1391" s="3">
        <v>45448</v>
      </c>
      <c r="C1391">
        <v>18</v>
      </c>
      <c r="D1391" t="s">
        <v>20</v>
      </c>
      <c r="E1391">
        <v>47.8</v>
      </c>
      <c r="F1391">
        <v>163.1</v>
      </c>
      <c r="G1391" s="4">
        <f t="shared" si="42"/>
        <v>17.968837224513855</v>
      </c>
      <c r="H1391" t="s">
        <v>55</v>
      </c>
      <c r="I1391" t="s">
        <v>197</v>
      </c>
      <c r="J1391">
        <v>99</v>
      </c>
      <c r="K1391">
        <v>67</v>
      </c>
      <c r="L1391">
        <v>72</v>
      </c>
      <c r="M1391">
        <v>3</v>
      </c>
      <c r="N1391" s="5">
        <v>9019.7999999999993</v>
      </c>
      <c r="O1391" t="s">
        <v>36</v>
      </c>
      <c r="P1391" t="str">
        <f t="shared" si="43"/>
        <v>Hospital Provincial de Lichinga</v>
      </c>
      <c r="Q1391" t="s">
        <v>24</v>
      </c>
      <c r="R1391">
        <v>5</v>
      </c>
    </row>
    <row r="1392" spans="1:18" x14ac:dyDescent="0.45">
      <c r="A1392" t="s">
        <v>1477</v>
      </c>
      <c r="B1392" s="3">
        <v>45183</v>
      </c>
      <c r="C1392">
        <v>1</v>
      </c>
      <c r="D1392" t="s">
        <v>27</v>
      </c>
      <c r="E1392">
        <v>22.2</v>
      </c>
      <c r="F1392">
        <v>127</v>
      </c>
      <c r="G1392" s="4">
        <f t="shared" si="42"/>
        <v>13.764027528055056</v>
      </c>
      <c r="H1392" t="s">
        <v>28</v>
      </c>
      <c r="I1392" t="s">
        <v>75</v>
      </c>
      <c r="J1392">
        <v>85</v>
      </c>
      <c r="K1392">
        <v>55</v>
      </c>
      <c r="L1392">
        <v>100</v>
      </c>
      <c r="M1392">
        <v>3</v>
      </c>
      <c r="N1392" s="5">
        <v>10762.73</v>
      </c>
      <c r="O1392" t="s">
        <v>63</v>
      </c>
      <c r="P1392" t="str">
        <f t="shared" si="43"/>
        <v>Hospital Central de Nampula</v>
      </c>
      <c r="Q1392" t="s">
        <v>24</v>
      </c>
      <c r="R1392">
        <v>3</v>
      </c>
    </row>
    <row r="1393" spans="1:18" x14ac:dyDescent="0.45">
      <c r="A1393" t="s">
        <v>1478</v>
      </c>
      <c r="B1393" s="3">
        <v>45504</v>
      </c>
      <c r="C1393">
        <v>53</v>
      </c>
      <c r="D1393" t="s">
        <v>27</v>
      </c>
      <c r="E1393">
        <v>76.5</v>
      </c>
      <c r="F1393">
        <v>160.9</v>
      </c>
      <c r="G1393" s="4">
        <f t="shared" si="42"/>
        <v>29.549446266553005</v>
      </c>
      <c r="H1393" t="s">
        <v>46</v>
      </c>
      <c r="I1393" t="s">
        <v>66</v>
      </c>
      <c r="J1393">
        <v>113</v>
      </c>
      <c r="K1393">
        <v>74</v>
      </c>
      <c r="L1393">
        <v>116</v>
      </c>
      <c r="M1393">
        <v>1</v>
      </c>
      <c r="N1393" s="5">
        <v>5855.74</v>
      </c>
      <c r="O1393" t="s">
        <v>36</v>
      </c>
      <c r="P1393" t="str">
        <f t="shared" si="43"/>
        <v>Hospital Provincial de Lichinga</v>
      </c>
      <c r="Q1393" t="s">
        <v>24</v>
      </c>
      <c r="R1393">
        <v>5</v>
      </c>
    </row>
    <row r="1394" spans="1:18" x14ac:dyDescent="0.45">
      <c r="A1394" t="s">
        <v>1479</v>
      </c>
      <c r="B1394" s="3">
        <v>45133</v>
      </c>
      <c r="C1394">
        <v>30</v>
      </c>
      <c r="D1394" t="s">
        <v>20</v>
      </c>
      <c r="E1394">
        <v>55.1</v>
      </c>
      <c r="F1394">
        <v>167.2</v>
      </c>
      <c r="G1394" s="4">
        <f t="shared" si="42"/>
        <v>19.7096563723358</v>
      </c>
      <c r="H1394" t="s">
        <v>41</v>
      </c>
      <c r="I1394" t="s">
        <v>113</v>
      </c>
      <c r="J1394">
        <v>121</v>
      </c>
      <c r="K1394">
        <v>65</v>
      </c>
      <c r="L1394">
        <v>78</v>
      </c>
      <c r="M1394">
        <v>1</v>
      </c>
      <c r="N1394" s="5">
        <v>3305.71</v>
      </c>
      <c r="O1394" t="s">
        <v>51</v>
      </c>
      <c r="P1394" t="str">
        <f t="shared" si="43"/>
        <v>Hospital Central de Quelimane</v>
      </c>
      <c r="Q1394" t="s">
        <v>24</v>
      </c>
      <c r="R1394">
        <v>5</v>
      </c>
    </row>
    <row r="1395" spans="1:18" x14ac:dyDescent="0.45">
      <c r="A1395" t="s">
        <v>1480</v>
      </c>
      <c r="B1395" s="3">
        <v>45366</v>
      </c>
      <c r="C1395">
        <v>18</v>
      </c>
      <c r="D1395" t="s">
        <v>20</v>
      </c>
      <c r="E1395">
        <v>52.5</v>
      </c>
      <c r="F1395">
        <v>161.5</v>
      </c>
      <c r="G1395" s="4">
        <f t="shared" si="42"/>
        <v>20.128631540607117</v>
      </c>
      <c r="H1395" t="s">
        <v>46</v>
      </c>
      <c r="I1395" t="s">
        <v>108</v>
      </c>
      <c r="J1395">
        <v>100</v>
      </c>
      <c r="K1395">
        <v>58</v>
      </c>
      <c r="L1395">
        <v>65</v>
      </c>
      <c r="M1395">
        <v>1</v>
      </c>
      <c r="N1395" s="5">
        <v>2993.45</v>
      </c>
      <c r="O1395" t="s">
        <v>36</v>
      </c>
      <c r="P1395" t="str">
        <f t="shared" si="43"/>
        <v>Hospital Provincial de Lichinga</v>
      </c>
      <c r="Q1395" t="s">
        <v>24</v>
      </c>
      <c r="R1395">
        <v>1</v>
      </c>
    </row>
    <row r="1396" spans="1:18" x14ac:dyDescent="0.45">
      <c r="A1396" t="s">
        <v>1481</v>
      </c>
      <c r="B1396" s="3">
        <v>45339</v>
      </c>
      <c r="C1396">
        <v>30</v>
      </c>
      <c r="D1396" t="s">
        <v>27</v>
      </c>
      <c r="E1396">
        <v>49.6</v>
      </c>
      <c r="F1396">
        <v>155.9</v>
      </c>
      <c r="G1396" s="4">
        <f t="shared" si="42"/>
        <v>20.407483127825312</v>
      </c>
      <c r="H1396" t="s">
        <v>99</v>
      </c>
      <c r="I1396" t="s">
        <v>103</v>
      </c>
      <c r="J1396">
        <v>107</v>
      </c>
      <c r="K1396">
        <v>61</v>
      </c>
      <c r="L1396">
        <v>110</v>
      </c>
      <c r="M1396">
        <v>8</v>
      </c>
      <c r="N1396" s="5">
        <v>23317.25</v>
      </c>
      <c r="O1396" t="s">
        <v>52</v>
      </c>
      <c r="P1396" t="str">
        <f t="shared" si="43"/>
        <v>Hospital Provincial de Chimoio</v>
      </c>
      <c r="Q1396" t="s">
        <v>24</v>
      </c>
      <c r="R1396">
        <v>3</v>
      </c>
    </row>
    <row r="1397" spans="1:18" x14ac:dyDescent="0.45">
      <c r="A1397" t="s">
        <v>1482</v>
      </c>
      <c r="B1397" s="3">
        <v>45317</v>
      </c>
      <c r="C1397">
        <v>25</v>
      </c>
      <c r="D1397" t="s">
        <v>27</v>
      </c>
      <c r="E1397">
        <v>71.8</v>
      </c>
      <c r="F1397">
        <v>153.30000000000001</v>
      </c>
      <c r="G1397" s="4">
        <f t="shared" si="42"/>
        <v>30.552034412313738</v>
      </c>
      <c r="H1397" t="s">
        <v>99</v>
      </c>
      <c r="I1397" t="s">
        <v>151</v>
      </c>
      <c r="J1397">
        <v>124</v>
      </c>
      <c r="K1397">
        <v>64</v>
      </c>
      <c r="L1397">
        <v>100</v>
      </c>
      <c r="M1397">
        <v>2</v>
      </c>
      <c r="N1397" s="5">
        <v>5090.96</v>
      </c>
      <c r="O1397" t="s">
        <v>23</v>
      </c>
      <c r="P1397" t="str">
        <f t="shared" si="43"/>
        <v>Hospital Central de Maputo</v>
      </c>
      <c r="Q1397" t="s">
        <v>24</v>
      </c>
      <c r="R1397">
        <v>5</v>
      </c>
    </row>
    <row r="1398" spans="1:18" x14ac:dyDescent="0.45">
      <c r="A1398" t="s">
        <v>1483</v>
      </c>
      <c r="B1398" s="3">
        <v>44954</v>
      </c>
      <c r="C1398">
        <v>24</v>
      </c>
      <c r="D1398" t="s">
        <v>27</v>
      </c>
      <c r="E1398">
        <v>68</v>
      </c>
      <c r="F1398">
        <v>146.4</v>
      </c>
      <c r="G1398" s="4">
        <f t="shared" si="42"/>
        <v>31.726835677386607</v>
      </c>
      <c r="H1398" t="s">
        <v>99</v>
      </c>
      <c r="I1398" t="s">
        <v>103</v>
      </c>
      <c r="J1398">
        <v>127</v>
      </c>
      <c r="K1398">
        <v>82</v>
      </c>
      <c r="L1398">
        <v>102</v>
      </c>
      <c r="M1398">
        <v>1</v>
      </c>
      <c r="N1398" s="5">
        <v>4605.59</v>
      </c>
      <c r="O1398" t="s">
        <v>52</v>
      </c>
      <c r="P1398" t="str">
        <f t="shared" si="43"/>
        <v>Hospital Provincial de Chimoio</v>
      </c>
      <c r="Q1398" t="s">
        <v>24</v>
      </c>
      <c r="R1398">
        <v>2</v>
      </c>
    </row>
    <row r="1399" spans="1:18" x14ac:dyDescent="0.45">
      <c r="A1399" t="s">
        <v>1484</v>
      </c>
      <c r="B1399" s="3">
        <v>45492</v>
      </c>
      <c r="C1399">
        <v>12</v>
      </c>
      <c r="D1399" t="s">
        <v>27</v>
      </c>
      <c r="E1399">
        <v>54.9</v>
      </c>
      <c r="F1399">
        <v>150.69999999999999</v>
      </c>
      <c r="G1399" s="4">
        <f t="shared" si="42"/>
        <v>24.173850938487018</v>
      </c>
      <c r="H1399" t="s">
        <v>99</v>
      </c>
      <c r="I1399" t="s">
        <v>100</v>
      </c>
      <c r="J1399">
        <v>123</v>
      </c>
      <c r="K1399">
        <v>80</v>
      </c>
      <c r="L1399">
        <v>73</v>
      </c>
      <c r="M1399">
        <v>1</v>
      </c>
      <c r="N1399" s="5">
        <v>5772.49</v>
      </c>
      <c r="O1399" t="s">
        <v>63</v>
      </c>
      <c r="P1399" t="str">
        <f t="shared" si="43"/>
        <v>Hospital Central de Nampula</v>
      </c>
      <c r="Q1399" t="s">
        <v>24</v>
      </c>
      <c r="R1399">
        <v>4</v>
      </c>
    </row>
    <row r="1400" spans="1:18" x14ac:dyDescent="0.45">
      <c r="A1400" t="s">
        <v>1485</v>
      </c>
      <c r="B1400" s="3">
        <v>44967</v>
      </c>
      <c r="C1400">
        <v>45</v>
      </c>
      <c r="D1400" t="s">
        <v>27</v>
      </c>
      <c r="E1400">
        <v>63</v>
      </c>
      <c r="F1400">
        <v>154.6</v>
      </c>
      <c r="G1400" s="4">
        <f t="shared" si="42"/>
        <v>26.358553308709705</v>
      </c>
      <c r="H1400" t="s">
        <v>46</v>
      </c>
      <c r="I1400" t="s">
        <v>66</v>
      </c>
      <c r="J1400">
        <v>130</v>
      </c>
      <c r="K1400">
        <v>83</v>
      </c>
      <c r="L1400">
        <v>112</v>
      </c>
      <c r="M1400">
        <v>1</v>
      </c>
      <c r="N1400" s="5">
        <v>6133.93</v>
      </c>
      <c r="O1400" t="s">
        <v>57</v>
      </c>
      <c r="P1400" t="str">
        <f t="shared" si="43"/>
        <v>Hospital Provincial de Tete</v>
      </c>
      <c r="Q1400" t="s">
        <v>24</v>
      </c>
      <c r="R1400">
        <v>5</v>
      </c>
    </row>
    <row r="1401" spans="1:18" x14ac:dyDescent="0.45">
      <c r="A1401" t="s">
        <v>1486</v>
      </c>
      <c r="B1401" s="3">
        <v>45142</v>
      </c>
      <c r="C1401">
        <v>46</v>
      </c>
      <c r="D1401" t="s">
        <v>27</v>
      </c>
      <c r="E1401">
        <v>71.8</v>
      </c>
      <c r="F1401">
        <v>153.69999999999999</v>
      </c>
      <c r="G1401" s="4">
        <f t="shared" si="42"/>
        <v>30.393219687525534</v>
      </c>
      <c r="H1401" t="s">
        <v>55</v>
      </c>
      <c r="I1401" t="s">
        <v>56</v>
      </c>
      <c r="J1401">
        <v>137</v>
      </c>
      <c r="K1401">
        <v>73</v>
      </c>
      <c r="L1401">
        <v>83</v>
      </c>
      <c r="M1401">
        <v>1</v>
      </c>
      <c r="N1401" s="5">
        <v>6477.36</v>
      </c>
      <c r="O1401" t="s">
        <v>31</v>
      </c>
      <c r="P1401" t="str">
        <f t="shared" si="43"/>
        <v>Hospital Provincial da Matola</v>
      </c>
      <c r="Q1401" t="s">
        <v>202</v>
      </c>
      <c r="R1401">
        <v>5</v>
      </c>
    </row>
    <row r="1402" spans="1:18" x14ac:dyDescent="0.45">
      <c r="A1402" t="s">
        <v>1487</v>
      </c>
      <c r="B1402" s="3">
        <v>45544</v>
      </c>
      <c r="C1402">
        <v>22</v>
      </c>
      <c r="D1402" t="s">
        <v>20</v>
      </c>
      <c r="E1402">
        <v>48.9</v>
      </c>
      <c r="F1402">
        <v>162.19999999999999</v>
      </c>
      <c r="G1402" s="4">
        <f t="shared" si="42"/>
        <v>18.586908430778404</v>
      </c>
      <c r="H1402" t="s">
        <v>46</v>
      </c>
      <c r="I1402" t="s">
        <v>108</v>
      </c>
      <c r="J1402">
        <v>110</v>
      </c>
      <c r="K1402">
        <v>65</v>
      </c>
      <c r="L1402">
        <v>111</v>
      </c>
      <c r="M1402">
        <v>3</v>
      </c>
      <c r="N1402" s="5">
        <v>10367.41</v>
      </c>
      <c r="O1402" t="s">
        <v>63</v>
      </c>
      <c r="P1402" t="str">
        <f t="shared" si="43"/>
        <v>Hospital Central de Nampula</v>
      </c>
      <c r="Q1402" t="s">
        <v>24</v>
      </c>
      <c r="R1402">
        <v>5</v>
      </c>
    </row>
    <row r="1403" spans="1:18" x14ac:dyDescent="0.45">
      <c r="A1403" t="s">
        <v>1488</v>
      </c>
      <c r="B1403" s="3">
        <v>44954</v>
      </c>
      <c r="C1403">
        <v>27</v>
      </c>
      <c r="D1403" t="s">
        <v>27</v>
      </c>
      <c r="E1403">
        <v>77.099999999999994</v>
      </c>
      <c r="F1403">
        <v>151.4</v>
      </c>
      <c r="G1403" s="4">
        <f t="shared" si="42"/>
        <v>33.635867089899811</v>
      </c>
      <c r="H1403" t="s">
        <v>21</v>
      </c>
      <c r="I1403" t="s">
        <v>89</v>
      </c>
      <c r="J1403">
        <v>139</v>
      </c>
      <c r="K1403">
        <v>85</v>
      </c>
      <c r="L1403">
        <v>103</v>
      </c>
      <c r="M1403">
        <v>1</v>
      </c>
      <c r="N1403" s="5">
        <v>3061.29</v>
      </c>
      <c r="O1403" t="s">
        <v>52</v>
      </c>
      <c r="P1403" t="str">
        <f t="shared" si="43"/>
        <v>Hospital Provincial de Chimoio</v>
      </c>
      <c r="Q1403" t="s">
        <v>24</v>
      </c>
      <c r="R1403">
        <v>4</v>
      </c>
    </row>
    <row r="1404" spans="1:18" x14ac:dyDescent="0.45">
      <c r="A1404" t="s">
        <v>1489</v>
      </c>
      <c r="B1404" s="3">
        <v>45163</v>
      </c>
      <c r="C1404">
        <v>16</v>
      </c>
      <c r="D1404" t="s">
        <v>20</v>
      </c>
      <c r="E1404">
        <v>55.3</v>
      </c>
      <c r="F1404">
        <v>169.7</v>
      </c>
      <c r="G1404" s="4">
        <f t="shared" si="42"/>
        <v>19.202662398791034</v>
      </c>
      <c r="H1404" t="s">
        <v>28</v>
      </c>
      <c r="I1404" t="s">
        <v>73</v>
      </c>
      <c r="J1404">
        <v>92</v>
      </c>
      <c r="K1404">
        <v>55</v>
      </c>
      <c r="L1404">
        <v>89</v>
      </c>
      <c r="M1404">
        <v>5</v>
      </c>
      <c r="N1404" s="5">
        <v>7130.32</v>
      </c>
      <c r="O1404" t="s">
        <v>43</v>
      </c>
      <c r="P1404" t="str">
        <f t="shared" si="43"/>
        <v>Hospital Central da Beira</v>
      </c>
      <c r="Q1404" t="s">
        <v>24</v>
      </c>
      <c r="R1404">
        <v>5</v>
      </c>
    </row>
    <row r="1405" spans="1:18" x14ac:dyDescent="0.45">
      <c r="A1405" t="s">
        <v>1490</v>
      </c>
      <c r="B1405" s="3">
        <v>45157</v>
      </c>
      <c r="C1405">
        <v>36</v>
      </c>
      <c r="D1405" t="s">
        <v>20</v>
      </c>
      <c r="E1405">
        <v>45.6</v>
      </c>
      <c r="F1405">
        <v>161.6</v>
      </c>
      <c r="G1405" s="4">
        <f t="shared" si="42"/>
        <v>17.461523380060783</v>
      </c>
      <c r="H1405" t="s">
        <v>91</v>
      </c>
      <c r="I1405" t="s">
        <v>131</v>
      </c>
      <c r="J1405">
        <v>121</v>
      </c>
      <c r="K1405">
        <v>76</v>
      </c>
      <c r="L1405">
        <v>65</v>
      </c>
      <c r="M1405">
        <v>4</v>
      </c>
      <c r="N1405" s="5">
        <v>12605.11</v>
      </c>
      <c r="O1405" t="s">
        <v>30</v>
      </c>
      <c r="P1405" t="str">
        <f t="shared" si="43"/>
        <v>Hospital Provincial de Inhambane</v>
      </c>
      <c r="Q1405" t="s">
        <v>24</v>
      </c>
      <c r="R1405">
        <v>4</v>
      </c>
    </row>
    <row r="1406" spans="1:18" x14ac:dyDescent="0.45">
      <c r="A1406" t="s">
        <v>1491</v>
      </c>
      <c r="B1406" s="3">
        <v>45252</v>
      </c>
      <c r="C1406">
        <v>46</v>
      </c>
      <c r="D1406" t="s">
        <v>27</v>
      </c>
      <c r="E1406">
        <v>47.6</v>
      </c>
      <c r="F1406">
        <v>164</v>
      </c>
      <c r="G1406" s="4">
        <f t="shared" si="42"/>
        <v>17.697798929208808</v>
      </c>
      <c r="H1406" t="s">
        <v>46</v>
      </c>
      <c r="I1406" t="s">
        <v>47</v>
      </c>
      <c r="J1406">
        <v>115</v>
      </c>
      <c r="K1406">
        <v>66</v>
      </c>
      <c r="L1406">
        <v>65</v>
      </c>
      <c r="M1406">
        <v>2</v>
      </c>
      <c r="N1406" s="5">
        <v>6538.66</v>
      </c>
      <c r="O1406" t="s">
        <v>23</v>
      </c>
      <c r="P1406" t="str">
        <f t="shared" si="43"/>
        <v>Hospital Central de Maputo</v>
      </c>
      <c r="Q1406" t="s">
        <v>24</v>
      </c>
      <c r="R1406">
        <v>4</v>
      </c>
    </row>
    <row r="1407" spans="1:18" x14ac:dyDescent="0.45">
      <c r="A1407" t="s">
        <v>1492</v>
      </c>
      <c r="B1407" s="3">
        <v>45141</v>
      </c>
      <c r="C1407">
        <v>32</v>
      </c>
      <c r="D1407" t="s">
        <v>20</v>
      </c>
      <c r="E1407">
        <v>80.599999999999994</v>
      </c>
      <c r="F1407">
        <v>170.2</v>
      </c>
      <c r="G1407" s="4">
        <f t="shared" si="42"/>
        <v>27.823767158565094</v>
      </c>
      <c r="H1407" t="s">
        <v>34</v>
      </c>
      <c r="I1407" t="s">
        <v>35</v>
      </c>
      <c r="J1407">
        <v>107</v>
      </c>
      <c r="K1407">
        <v>63</v>
      </c>
      <c r="L1407">
        <v>65</v>
      </c>
      <c r="M1407">
        <v>11</v>
      </c>
      <c r="N1407" s="5">
        <v>37696.92</v>
      </c>
      <c r="O1407" t="s">
        <v>63</v>
      </c>
      <c r="P1407" t="str">
        <f t="shared" si="43"/>
        <v>Hospital Central de Nampula</v>
      </c>
      <c r="Q1407" t="s">
        <v>24</v>
      </c>
      <c r="R1407">
        <v>4</v>
      </c>
    </row>
    <row r="1408" spans="1:18" x14ac:dyDescent="0.45">
      <c r="A1408" t="s">
        <v>1493</v>
      </c>
      <c r="B1408" s="3">
        <v>45381</v>
      </c>
      <c r="C1408">
        <v>38</v>
      </c>
      <c r="D1408" t="s">
        <v>20</v>
      </c>
      <c r="E1408">
        <v>63.4</v>
      </c>
      <c r="F1408">
        <v>146.4</v>
      </c>
      <c r="G1408" s="4">
        <f t="shared" si="42"/>
        <v>29.580608558033983</v>
      </c>
      <c r="H1408" t="s">
        <v>91</v>
      </c>
      <c r="I1408" t="s">
        <v>92</v>
      </c>
      <c r="J1408">
        <v>99</v>
      </c>
      <c r="K1408">
        <v>55</v>
      </c>
      <c r="L1408">
        <v>103</v>
      </c>
      <c r="M1408">
        <v>3</v>
      </c>
      <c r="N1408" s="5">
        <v>9718.82</v>
      </c>
      <c r="O1408" t="s">
        <v>23</v>
      </c>
      <c r="P1408" t="str">
        <f t="shared" si="43"/>
        <v>Hospital Central de Maputo</v>
      </c>
      <c r="Q1408" t="s">
        <v>24</v>
      </c>
      <c r="R1408">
        <v>4</v>
      </c>
    </row>
    <row r="1409" spans="1:18" x14ac:dyDescent="0.45">
      <c r="A1409" t="s">
        <v>1494</v>
      </c>
      <c r="B1409" s="3">
        <v>45569</v>
      </c>
      <c r="C1409">
        <v>24</v>
      </c>
      <c r="D1409" t="s">
        <v>27</v>
      </c>
      <c r="E1409">
        <v>55.1</v>
      </c>
      <c r="F1409">
        <v>162.5</v>
      </c>
      <c r="G1409" s="4">
        <f t="shared" si="42"/>
        <v>20.866272189349115</v>
      </c>
      <c r="H1409" t="s">
        <v>91</v>
      </c>
      <c r="I1409" t="s">
        <v>131</v>
      </c>
      <c r="J1409">
        <v>105</v>
      </c>
      <c r="K1409">
        <v>80</v>
      </c>
      <c r="L1409">
        <v>65</v>
      </c>
      <c r="M1409">
        <v>6</v>
      </c>
      <c r="N1409" s="5">
        <v>14495.26</v>
      </c>
      <c r="O1409" t="s">
        <v>67</v>
      </c>
      <c r="P1409" t="str">
        <f t="shared" si="43"/>
        <v>Hospital Provincial de Pemba</v>
      </c>
      <c r="Q1409" t="s">
        <v>37</v>
      </c>
      <c r="R1409">
        <v>2</v>
      </c>
    </row>
    <row r="1410" spans="1:18" x14ac:dyDescent="0.45">
      <c r="A1410" t="s">
        <v>1495</v>
      </c>
      <c r="B1410" s="3">
        <v>45150</v>
      </c>
      <c r="C1410">
        <v>18</v>
      </c>
      <c r="D1410" t="s">
        <v>20</v>
      </c>
      <c r="E1410">
        <v>71.599999999999994</v>
      </c>
      <c r="F1410">
        <v>164.9</v>
      </c>
      <c r="G1410" s="4">
        <f t="shared" ref="G1410:G1473" si="44">E1410/((F1410/100)^2)</f>
        <v>26.331264220629514</v>
      </c>
      <c r="H1410" t="s">
        <v>55</v>
      </c>
      <c r="I1410" t="s">
        <v>197</v>
      </c>
      <c r="J1410">
        <v>98</v>
      </c>
      <c r="K1410">
        <v>66</v>
      </c>
      <c r="L1410">
        <v>81</v>
      </c>
      <c r="M1410">
        <v>4</v>
      </c>
      <c r="N1410" s="5">
        <v>9994.57</v>
      </c>
      <c r="O1410" t="s">
        <v>51</v>
      </c>
      <c r="P1410" t="str">
        <f t="shared" ref="P1410:P1473" si="45">INDEX($U$2:$U$12,MATCH(O1410,$T$2:$T$12,0))</f>
        <v>Hospital Central de Quelimane</v>
      </c>
      <c r="Q1410" t="s">
        <v>24</v>
      </c>
      <c r="R1410">
        <v>3</v>
      </c>
    </row>
    <row r="1411" spans="1:18" x14ac:dyDescent="0.45">
      <c r="A1411" t="s">
        <v>1496</v>
      </c>
      <c r="B1411" s="3">
        <v>45448</v>
      </c>
      <c r="C1411">
        <v>39</v>
      </c>
      <c r="D1411" t="s">
        <v>27</v>
      </c>
      <c r="E1411">
        <v>78.8</v>
      </c>
      <c r="F1411">
        <v>156.9</v>
      </c>
      <c r="G1411" s="4">
        <f t="shared" si="44"/>
        <v>32.009606131545674</v>
      </c>
      <c r="H1411" t="s">
        <v>34</v>
      </c>
      <c r="I1411" t="s">
        <v>128</v>
      </c>
      <c r="J1411">
        <v>132</v>
      </c>
      <c r="K1411">
        <v>79</v>
      </c>
      <c r="L1411">
        <v>104</v>
      </c>
      <c r="M1411">
        <v>4</v>
      </c>
      <c r="N1411" s="5">
        <v>7506.96</v>
      </c>
      <c r="O1411" t="s">
        <v>63</v>
      </c>
      <c r="P1411" t="str">
        <f t="shared" si="45"/>
        <v>Hospital Central de Nampula</v>
      </c>
      <c r="Q1411" t="s">
        <v>24</v>
      </c>
      <c r="R1411">
        <v>4</v>
      </c>
    </row>
    <row r="1412" spans="1:18" x14ac:dyDescent="0.45">
      <c r="A1412" t="s">
        <v>1497</v>
      </c>
      <c r="B1412" s="3">
        <v>45311</v>
      </c>
      <c r="C1412">
        <v>22</v>
      </c>
      <c r="D1412" t="s">
        <v>27</v>
      </c>
      <c r="E1412">
        <v>45.4</v>
      </c>
      <c r="F1412">
        <v>175.1</v>
      </c>
      <c r="G1412" s="4">
        <f t="shared" si="44"/>
        <v>14.807562032758634</v>
      </c>
      <c r="H1412" t="s">
        <v>21</v>
      </c>
      <c r="I1412" t="s">
        <v>70</v>
      </c>
      <c r="J1412">
        <v>98</v>
      </c>
      <c r="K1412">
        <v>67</v>
      </c>
      <c r="L1412">
        <v>101</v>
      </c>
      <c r="M1412">
        <v>1</v>
      </c>
      <c r="N1412" s="5">
        <v>3362.1</v>
      </c>
      <c r="O1412" t="s">
        <v>43</v>
      </c>
      <c r="P1412" t="str">
        <f t="shared" si="45"/>
        <v>Hospital Central da Beira</v>
      </c>
      <c r="Q1412" t="s">
        <v>24</v>
      </c>
      <c r="R1412">
        <v>3</v>
      </c>
    </row>
    <row r="1413" spans="1:18" x14ac:dyDescent="0.45">
      <c r="A1413" t="s">
        <v>1498</v>
      </c>
      <c r="B1413" s="3">
        <v>45052</v>
      </c>
      <c r="C1413">
        <v>18</v>
      </c>
      <c r="D1413" t="s">
        <v>27</v>
      </c>
      <c r="E1413">
        <v>76.2</v>
      </c>
      <c r="F1413">
        <v>158</v>
      </c>
      <c r="G1413" s="4">
        <f t="shared" si="44"/>
        <v>30.523954494472036</v>
      </c>
      <c r="H1413" t="s">
        <v>46</v>
      </c>
      <c r="I1413" t="s">
        <v>47</v>
      </c>
      <c r="J1413">
        <v>100</v>
      </c>
      <c r="K1413">
        <v>61</v>
      </c>
      <c r="L1413">
        <v>65</v>
      </c>
      <c r="M1413">
        <v>3</v>
      </c>
      <c r="N1413" s="5">
        <v>7600.45</v>
      </c>
      <c r="O1413" t="s">
        <v>30</v>
      </c>
      <c r="P1413" t="str">
        <f t="shared" si="45"/>
        <v>Hospital Provincial de Inhambane</v>
      </c>
      <c r="Q1413" t="s">
        <v>202</v>
      </c>
      <c r="R1413">
        <v>5</v>
      </c>
    </row>
    <row r="1414" spans="1:18" x14ac:dyDescent="0.45">
      <c r="A1414" t="s">
        <v>1499</v>
      </c>
      <c r="B1414" s="3">
        <v>45005</v>
      </c>
      <c r="C1414">
        <v>18</v>
      </c>
      <c r="D1414" t="s">
        <v>20</v>
      </c>
      <c r="E1414">
        <v>68.2</v>
      </c>
      <c r="F1414">
        <v>158.9</v>
      </c>
      <c r="G1414" s="4">
        <f t="shared" si="44"/>
        <v>27.010746078788209</v>
      </c>
      <c r="H1414" t="s">
        <v>91</v>
      </c>
      <c r="I1414" t="s">
        <v>116</v>
      </c>
      <c r="J1414">
        <v>103</v>
      </c>
      <c r="K1414">
        <v>65</v>
      </c>
      <c r="L1414">
        <v>73</v>
      </c>
      <c r="M1414">
        <v>1</v>
      </c>
      <c r="N1414" s="5">
        <v>4769.9399999999996</v>
      </c>
      <c r="O1414" t="s">
        <v>23</v>
      </c>
      <c r="P1414" t="str">
        <f t="shared" si="45"/>
        <v>Hospital Central de Maputo</v>
      </c>
      <c r="Q1414" t="s">
        <v>24</v>
      </c>
      <c r="R1414">
        <v>5</v>
      </c>
    </row>
    <row r="1415" spans="1:18" x14ac:dyDescent="0.45">
      <c r="A1415" t="s">
        <v>1500</v>
      </c>
      <c r="B1415" s="3">
        <v>45135</v>
      </c>
      <c r="C1415">
        <v>23</v>
      </c>
      <c r="D1415" t="s">
        <v>27</v>
      </c>
      <c r="E1415">
        <v>48</v>
      </c>
      <c r="F1415">
        <v>177.3</v>
      </c>
      <c r="G1415" s="4">
        <f t="shared" si="44"/>
        <v>15.269463077961104</v>
      </c>
      <c r="H1415" t="s">
        <v>99</v>
      </c>
      <c r="I1415" t="s">
        <v>103</v>
      </c>
      <c r="J1415">
        <v>98</v>
      </c>
      <c r="K1415">
        <v>65</v>
      </c>
      <c r="L1415">
        <v>101</v>
      </c>
      <c r="M1415">
        <v>4</v>
      </c>
      <c r="N1415" s="5">
        <v>16382.06</v>
      </c>
      <c r="O1415" t="s">
        <v>63</v>
      </c>
      <c r="P1415" t="str">
        <f t="shared" si="45"/>
        <v>Hospital Central de Nampula</v>
      </c>
      <c r="Q1415" t="s">
        <v>24</v>
      </c>
      <c r="R1415">
        <v>3</v>
      </c>
    </row>
    <row r="1416" spans="1:18" x14ac:dyDescent="0.45">
      <c r="A1416" t="s">
        <v>1501</v>
      </c>
      <c r="B1416" s="3">
        <v>45576</v>
      </c>
      <c r="C1416">
        <v>37</v>
      </c>
      <c r="D1416" t="s">
        <v>27</v>
      </c>
      <c r="E1416">
        <v>61.9</v>
      </c>
      <c r="F1416">
        <v>151.19999999999999</v>
      </c>
      <c r="G1416" s="4">
        <f t="shared" si="44"/>
        <v>27.076159681979796</v>
      </c>
      <c r="H1416" t="s">
        <v>34</v>
      </c>
      <c r="I1416" t="s">
        <v>35</v>
      </c>
      <c r="J1416">
        <v>107</v>
      </c>
      <c r="K1416">
        <v>62</v>
      </c>
      <c r="L1416">
        <v>85</v>
      </c>
      <c r="M1416">
        <v>1</v>
      </c>
      <c r="N1416" s="5">
        <v>4416.59</v>
      </c>
      <c r="O1416" t="s">
        <v>30</v>
      </c>
      <c r="P1416" t="str">
        <f t="shared" si="45"/>
        <v>Hospital Provincial de Inhambane</v>
      </c>
      <c r="Q1416" t="s">
        <v>24</v>
      </c>
      <c r="R1416">
        <v>4</v>
      </c>
    </row>
    <row r="1417" spans="1:18" x14ac:dyDescent="0.45">
      <c r="A1417" t="s">
        <v>1502</v>
      </c>
      <c r="B1417" s="3">
        <v>45006</v>
      </c>
      <c r="C1417">
        <v>10</v>
      </c>
      <c r="D1417" t="s">
        <v>20</v>
      </c>
      <c r="E1417">
        <v>19.899999999999999</v>
      </c>
      <c r="F1417">
        <v>121.7</v>
      </c>
      <c r="G1417" s="4">
        <f t="shared" si="44"/>
        <v>13.436059548075772</v>
      </c>
      <c r="H1417" t="s">
        <v>28</v>
      </c>
      <c r="I1417" t="s">
        <v>73</v>
      </c>
      <c r="J1417">
        <v>114</v>
      </c>
      <c r="K1417">
        <v>58</v>
      </c>
      <c r="L1417">
        <v>110</v>
      </c>
      <c r="M1417">
        <v>1</v>
      </c>
      <c r="N1417" s="5">
        <v>6098.54</v>
      </c>
      <c r="O1417" t="s">
        <v>38</v>
      </c>
      <c r="P1417" t="str">
        <f t="shared" si="45"/>
        <v>Hospital Provincial de Xai-Xai</v>
      </c>
      <c r="Q1417" t="s">
        <v>24</v>
      </c>
      <c r="R1417">
        <v>2</v>
      </c>
    </row>
    <row r="1418" spans="1:18" x14ac:dyDescent="0.45">
      <c r="A1418" t="s">
        <v>1503</v>
      </c>
      <c r="B1418" s="3">
        <v>45140</v>
      </c>
      <c r="C1418">
        <v>62</v>
      </c>
      <c r="D1418" t="s">
        <v>27</v>
      </c>
      <c r="E1418">
        <v>55.2</v>
      </c>
      <c r="F1418">
        <v>171.1</v>
      </c>
      <c r="G1418" s="4">
        <f t="shared" si="44"/>
        <v>18.855543649388</v>
      </c>
      <c r="H1418" t="s">
        <v>34</v>
      </c>
      <c r="I1418" t="s">
        <v>138</v>
      </c>
      <c r="J1418">
        <v>123</v>
      </c>
      <c r="K1418">
        <v>75</v>
      </c>
      <c r="L1418">
        <v>72</v>
      </c>
      <c r="M1418">
        <v>1</v>
      </c>
      <c r="N1418" s="5">
        <v>2788.09</v>
      </c>
      <c r="O1418" t="s">
        <v>63</v>
      </c>
      <c r="P1418" t="str">
        <f t="shared" si="45"/>
        <v>Hospital Central de Nampula</v>
      </c>
      <c r="Q1418" t="s">
        <v>24</v>
      </c>
      <c r="R1418">
        <v>3</v>
      </c>
    </row>
    <row r="1419" spans="1:18" x14ac:dyDescent="0.45">
      <c r="A1419" t="s">
        <v>1504</v>
      </c>
      <c r="B1419" s="3">
        <v>45558</v>
      </c>
      <c r="C1419">
        <v>11</v>
      </c>
      <c r="D1419" t="s">
        <v>20</v>
      </c>
      <c r="E1419">
        <v>5.0999999999999996</v>
      </c>
      <c r="F1419">
        <v>109.2</v>
      </c>
      <c r="G1419" s="4">
        <f t="shared" si="44"/>
        <v>4.2768586724630673</v>
      </c>
      <c r="H1419" t="s">
        <v>28</v>
      </c>
      <c r="I1419" t="s">
        <v>29</v>
      </c>
      <c r="J1419">
        <v>110</v>
      </c>
      <c r="K1419">
        <v>73</v>
      </c>
      <c r="L1419">
        <v>76</v>
      </c>
      <c r="M1419">
        <v>1</v>
      </c>
      <c r="N1419" s="5">
        <v>4666.05</v>
      </c>
      <c r="O1419" t="s">
        <v>23</v>
      </c>
      <c r="P1419" t="str">
        <f t="shared" si="45"/>
        <v>Hospital Central de Maputo</v>
      </c>
      <c r="Q1419" t="s">
        <v>24</v>
      </c>
      <c r="R1419">
        <v>3</v>
      </c>
    </row>
    <row r="1420" spans="1:18" x14ac:dyDescent="0.45">
      <c r="A1420" t="s">
        <v>1505</v>
      </c>
      <c r="B1420" s="3">
        <v>45058</v>
      </c>
      <c r="C1420">
        <v>11</v>
      </c>
      <c r="D1420" t="s">
        <v>27</v>
      </c>
      <c r="E1420">
        <v>15.2</v>
      </c>
      <c r="F1420">
        <v>131.69999999999999</v>
      </c>
      <c r="G1420" s="4">
        <f t="shared" si="44"/>
        <v>8.7633879488425688</v>
      </c>
      <c r="H1420" t="s">
        <v>28</v>
      </c>
      <c r="I1420" t="s">
        <v>73</v>
      </c>
      <c r="J1420">
        <v>91</v>
      </c>
      <c r="K1420">
        <v>64</v>
      </c>
      <c r="L1420">
        <v>73</v>
      </c>
      <c r="M1420">
        <v>2</v>
      </c>
      <c r="N1420" s="5">
        <v>7128.11</v>
      </c>
      <c r="O1420" t="s">
        <v>23</v>
      </c>
      <c r="P1420" t="str">
        <f t="shared" si="45"/>
        <v>Hospital Central de Maputo</v>
      </c>
      <c r="Q1420" t="s">
        <v>24</v>
      </c>
      <c r="R1420">
        <v>1</v>
      </c>
    </row>
    <row r="1421" spans="1:18" x14ac:dyDescent="0.45">
      <c r="A1421" t="s">
        <v>1506</v>
      </c>
      <c r="B1421" s="3">
        <v>45487</v>
      </c>
      <c r="C1421">
        <v>22</v>
      </c>
      <c r="D1421" t="s">
        <v>27</v>
      </c>
      <c r="E1421">
        <v>53.2</v>
      </c>
      <c r="F1421">
        <v>162.6</v>
      </c>
      <c r="G1421" s="4">
        <f t="shared" si="44"/>
        <v>20.121972437436554</v>
      </c>
      <c r="H1421" t="s">
        <v>21</v>
      </c>
      <c r="I1421" t="s">
        <v>70</v>
      </c>
      <c r="J1421">
        <v>126</v>
      </c>
      <c r="K1421">
        <v>81</v>
      </c>
      <c r="L1421">
        <v>109</v>
      </c>
      <c r="M1421">
        <v>13</v>
      </c>
      <c r="N1421" s="5">
        <v>38475.29</v>
      </c>
      <c r="O1421" t="s">
        <v>38</v>
      </c>
      <c r="P1421" t="str">
        <f t="shared" si="45"/>
        <v>Hospital Provincial de Xai-Xai</v>
      </c>
      <c r="Q1421" t="s">
        <v>24</v>
      </c>
      <c r="R1421">
        <v>4</v>
      </c>
    </row>
    <row r="1422" spans="1:18" x14ac:dyDescent="0.45">
      <c r="A1422" t="s">
        <v>1507</v>
      </c>
      <c r="B1422" s="3">
        <v>45111</v>
      </c>
      <c r="C1422">
        <v>76</v>
      </c>
      <c r="D1422" t="s">
        <v>20</v>
      </c>
      <c r="E1422">
        <v>65.7</v>
      </c>
      <c r="F1422">
        <v>156.4</v>
      </c>
      <c r="G1422" s="4">
        <f t="shared" si="44"/>
        <v>26.859125725237273</v>
      </c>
      <c r="H1422" t="s">
        <v>55</v>
      </c>
      <c r="I1422" t="s">
        <v>62</v>
      </c>
      <c r="J1422">
        <v>131</v>
      </c>
      <c r="K1422">
        <v>85</v>
      </c>
      <c r="L1422">
        <v>82</v>
      </c>
      <c r="M1422">
        <v>5</v>
      </c>
      <c r="N1422" s="5">
        <v>9691.0400000000009</v>
      </c>
      <c r="O1422" t="s">
        <v>38</v>
      </c>
      <c r="P1422" t="str">
        <f t="shared" si="45"/>
        <v>Hospital Provincial de Xai-Xai</v>
      </c>
      <c r="Q1422" t="s">
        <v>37</v>
      </c>
      <c r="R1422">
        <v>3</v>
      </c>
    </row>
    <row r="1423" spans="1:18" x14ac:dyDescent="0.45">
      <c r="A1423" t="s">
        <v>1508</v>
      </c>
      <c r="B1423" s="3">
        <v>45022</v>
      </c>
      <c r="C1423">
        <v>14</v>
      </c>
      <c r="D1423" t="s">
        <v>20</v>
      </c>
      <c r="E1423">
        <v>55.1</v>
      </c>
      <c r="F1423">
        <v>169.7</v>
      </c>
      <c r="G1423" s="4">
        <f t="shared" si="44"/>
        <v>19.133213348524158</v>
      </c>
      <c r="H1423" t="s">
        <v>28</v>
      </c>
      <c r="I1423" t="s">
        <v>73</v>
      </c>
      <c r="J1423">
        <v>100</v>
      </c>
      <c r="K1423">
        <v>73</v>
      </c>
      <c r="L1423">
        <v>101</v>
      </c>
      <c r="M1423">
        <v>1</v>
      </c>
      <c r="N1423" s="5">
        <v>2531.0300000000002</v>
      </c>
      <c r="O1423" t="s">
        <v>38</v>
      </c>
      <c r="P1423" t="str">
        <f t="shared" si="45"/>
        <v>Hospital Provincial de Xai-Xai</v>
      </c>
      <c r="Q1423" t="s">
        <v>24</v>
      </c>
      <c r="R1423">
        <v>4</v>
      </c>
    </row>
    <row r="1424" spans="1:18" x14ac:dyDescent="0.45">
      <c r="A1424" t="s">
        <v>1509</v>
      </c>
      <c r="B1424" s="3">
        <v>45024</v>
      </c>
      <c r="C1424">
        <v>21</v>
      </c>
      <c r="D1424" t="s">
        <v>20</v>
      </c>
      <c r="E1424">
        <v>81.900000000000006</v>
      </c>
      <c r="F1424">
        <v>161.5</v>
      </c>
      <c r="G1424" s="4">
        <f t="shared" si="44"/>
        <v>31.400665203347106</v>
      </c>
      <c r="H1424" t="s">
        <v>21</v>
      </c>
      <c r="I1424" t="s">
        <v>22</v>
      </c>
      <c r="J1424">
        <v>140</v>
      </c>
      <c r="K1424">
        <v>71</v>
      </c>
      <c r="L1424">
        <v>77</v>
      </c>
      <c r="M1424">
        <v>1</v>
      </c>
      <c r="N1424" s="5">
        <v>2235.4499999999998</v>
      </c>
      <c r="O1424" t="s">
        <v>23</v>
      </c>
      <c r="P1424" t="str">
        <f t="shared" si="45"/>
        <v>Hospital Central de Maputo</v>
      </c>
      <c r="Q1424" t="s">
        <v>24</v>
      </c>
      <c r="R1424">
        <v>3</v>
      </c>
    </row>
    <row r="1425" spans="1:18" x14ac:dyDescent="0.45">
      <c r="A1425" t="s">
        <v>1510</v>
      </c>
      <c r="B1425" s="3">
        <v>45419</v>
      </c>
      <c r="C1425">
        <v>3</v>
      </c>
      <c r="D1425" t="s">
        <v>27</v>
      </c>
      <c r="E1425">
        <v>25.1</v>
      </c>
      <c r="F1425">
        <v>74.900000000000006</v>
      </c>
      <c r="G1425" s="4">
        <f t="shared" si="44"/>
        <v>44.741453223791034</v>
      </c>
      <c r="H1425" t="s">
        <v>28</v>
      </c>
      <c r="I1425" t="s">
        <v>29</v>
      </c>
      <c r="J1425">
        <v>96</v>
      </c>
      <c r="K1425">
        <v>58</v>
      </c>
      <c r="L1425">
        <v>72</v>
      </c>
      <c r="M1425">
        <v>2</v>
      </c>
      <c r="N1425" s="5">
        <v>4746.43</v>
      </c>
      <c r="O1425" t="s">
        <v>51</v>
      </c>
      <c r="P1425" t="str">
        <f t="shared" si="45"/>
        <v>Hospital Central de Quelimane</v>
      </c>
      <c r="Q1425" t="s">
        <v>37</v>
      </c>
      <c r="R1425">
        <v>4</v>
      </c>
    </row>
    <row r="1426" spans="1:18" x14ac:dyDescent="0.45">
      <c r="A1426" t="s">
        <v>1511</v>
      </c>
      <c r="B1426" s="3">
        <v>45488</v>
      </c>
      <c r="C1426">
        <v>13</v>
      </c>
      <c r="D1426" t="s">
        <v>20</v>
      </c>
      <c r="E1426">
        <v>64.8</v>
      </c>
      <c r="F1426">
        <v>156.9</v>
      </c>
      <c r="G1426" s="4">
        <f t="shared" si="44"/>
        <v>26.322620270611164</v>
      </c>
      <c r="H1426" t="s">
        <v>28</v>
      </c>
      <c r="I1426" t="s">
        <v>75</v>
      </c>
      <c r="J1426">
        <v>127</v>
      </c>
      <c r="K1426">
        <v>91</v>
      </c>
      <c r="L1426">
        <v>106</v>
      </c>
      <c r="M1426">
        <v>1</v>
      </c>
      <c r="N1426" s="5">
        <v>3246.94</v>
      </c>
      <c r="O1426" t="s">
        <v>23</v>
      </c>
      <c r="P1426" t="str">
        <f t="shared" si="45"/>
        <v>Hospital Central de Maputo</v>
      </c>
      <c r="Q1426" t="s">
        <v>24</v>
      </c>
      <c r="R1426">
        <v>2</v>
      </c>
    </row>
    <row r="1427" spans="1:18" x14ac:dyDescent="0.45">
      <c r="A1427" t="s">
        <v>1512</v>
      </c>
      <c r="B1427" s="3">
        <v>45441</v>
      </c>
      <c r="C1427">
        <v>39</v>
      </c>
      <c r="D1427" t="s">
        <v>27</v>
      </c>
      <c r="E1427">
        <v>66</v>
      </c>
      <c r="F1427">
        <v>161</v>
      </c>
      <c r="G1427" s="4">
        <f t="shared" si="44"/>
        <v>25.461980633463213</v>
      </c>
      <c r="H1427" t="s">
        <v>99</v>
      </c>
      <c r="I1427" t="s">
        <v>151</v>
      </c>
      <c r="J1427">
        <v>114</v>
      </c>
      <c r="K1427">
        <v>65</v>
      </c>
      <c r="L1427">
        <v>119</v>
      </c>
      <c r="M1427">
        <v>1</v>
      </c>
      <c r="N1427" s="5">
        <v>3501.17</v>
      </c>
      <c r="O1427" t="s">
        <v>63</v>
      </c>
      <c r="P1427" t="str">
        <f t="shared" si="45"/>
        <v>Hospital Central de Nampula</v>
      </c>
      <c r="Q1427" t="s">
        <v>24</v>
      </c>
      <c r="R1427">
        <v>4</v>
      </c>
    </row>
    <row r="1428" spans="1:18" x14ac:dyDescent="0.45">
      <c r="A1428" t="s">
        <v>1513</v>
      </c>
      <c r="B1428" s="3">
        <v>44964</v>
      </c>
      <c r="C1428">
        <v>36</v>
      </c>
      <c r="D1428" t="s">
        <v>20</v>
      </c>
      <c r="E1428">
        <v>98</v>
      </c>
      <c r="F1428">
        <v>177.7</v>
      </c>
      <c r="G1428" s="4">
        <f t="shared" si="44"/>
        <v>31.034962151596925</v>
      </c>
      <c r="H1428" t="s">
        <v>91</v>
      </c>
      <c r="I1428" t="s">
        <v>110</v>
      </c>
      <c r="J1428">
        <v>118</v>
      </c>
      <c r="K1428">
        <v>62</v>
      </c>
      <c r="L1428">
        <v>111</v>
      </c>
      <c r="M1428">
        <v>1</v>
      </c>
      <c r="N1428" s="5">
        <v>3638.45</v>
      </c>
      <c r="O1428" t="s">
        <v>23</v>
      </c>
      <c r="P1428" t="str">
        <f t="shared" si="45"/>
        <v>Hospital Central de Maputo</v>
      </c>
      <c r="Q1428" t="s">
        <v>24</v>
      </c>
      <c r="R1428">
        <v>2</v>
      </c>
    </row>
    <row r="1429" spans="1:18" x14ac:dyDescent="0.45">
      <c r="A1429" t="s">
        <v>1514</v>
      </c>
      <c r="B1429" s="3">
        <v>45254</v>
      </c>
      <c r="C1429">
        <v>22</v>
      </c>
      <c r="D1429" t="s">
        <v>27</v>
      </c>
      <c r="E1429">
        <v>75.2</v>
      </c>
      <c r="F1429">
        <v>160</v>
      </c>
      <c r="G1429" s="4">
        <f t="shared" si="44"/>
        <v>29.374999999999996</v>
      </c>
      <c r="H1429" t="s">
        <v>99</v>
      </c>
      <c r="I1429" t="s">
        <v>103</v>
      </c>
      <c r="J1429">
        <v>112</v>
      </c>
      <c r="K1429">
        <v>67</v>
      </c>
      <c r="L1429">
        <v>81</v>
      </c>
      <c r="M1429">
        <v>4</v>
      </c>
      <c r="N1429" s="5">
        <v>9992.0400000000009</v>
      </c>
      <c r="O1429" t="s">
        <v>23</v>
      </c>
      <c r="P1429" t="str">
        <f t="shared" si="45"/>
        <v>Hospital Central de Maputo</v>
      </c>
      <c r="Q1429" t="s">
        <v>24</v>
      </c>
      <c r="R1429">
        <v>3</v>
      </c>
    </row>
    <row r="1430" spans="1:18" x14ac:dyDescent="0.45">
      <c r="A1430" t="s">
        <v>1515</v>
      </c>
      <c r="B1430" s="3">
        <v>45241</v>
      </c>
      <c r="C1430">
        <v>3</v>
      </c>
      <c r="D1430" t="s">
        <v>20</v>
      </c>
      <c r="E1430">
        <v>30.1</v>
      </c>
      <c r="F1430">
        <v>107.1</v>
      </c>
      <c r="G1430" s="4">
        <f t="shared" si="44"/>
        <v>26.241433392529128</v>
      </c>
      <c r="H1430" t="s">
        <v>28</v>
      </c>
      <c r="I1430" t="s">
        <v>75</v>
      </c>
      <c r="J1430">
        <v>106</v>
      </c>
      <c r="K1430">
        <v>71</v>
      </c>
      <c r="L1430">
        <v>117</v>
      </c>
      <c r="M1430">
        <v>1</v>
      </c>
      <c r="N1430" s="5">
        <v>3973.66</v>
      </c>
      <c r="O1430" t="s">
        <v>63</v>
      </c>
      <c r="P1430" t="str">
        <f t="shared" si="45"/>
        <v>Hospital Central de Nampula</v>
      </c>
      <c r="Q1430" t="s">
        <v>24</v>
      </c>
      <c r="R1430">
        <v>3</v>
      </c>
    </row>
    <row r="1431" spans="1:18" x14ac:dyDescent="0.45">
      <c r="A1431" t="s">
        <v>1516</v>
      </c>
      <c r="B1431" s="3">
        <v>45056</v>
      </c>
      <c r="C1431">
        <v>32</v>
      </c>
      <c r="D1431" t="s">
        <v>20</v>
      </c>
      <c r="E1431">
        <v>84.7</v>
      </c>
      <c r="F1431">
        <v>158.1</v>
      </c>
      <c r="G1431" s="4">
        <f t="shared" si="44"/>
        <v>33.885950372885482</v>
      </c>
      <c r="H1431" t="s">
        <v>91</v>
      </c>
      <c r="I1431" t="s">
        <v>131</v>
      </c>
      <c r="J1431">
        <v>102</v>
      </c>
      <c r="K1431">
        <v>59</v>
      </c>
      <c r="L1431">
        <v>103</v>
      </c>
      <c r="M1431">
        <v>2</v>
      </c>
      <c r="N1431" s="5">
        <v>5204.8599999999997</v>
      </c>
      <c r="O1431" t="s">
        <v>51</v>
      </c>
      <c r="P1431" t="str">
        <f t="shared" si="45"/>
        <v>Hospital Central de Quelimane</v>
      </c>
      <c r="Q1431" t="s">
        <v>24</v>
      </c>
      <c r="R1431">
        <v>4</v>
      </c>
    </row>
    <row r="1432" spans="1:18" x14ac:dyDescent="0.45">
      <c r="A1432" t="s">
        <v>1517</v>
      </c>
      <c r="B1432" s="3">
        <v>45292</v>
      </c>
      <c r="C1432">
        <v>38</v>
      </c>
      <c r="D1432" t="s">
        <v>20</v>
      </c>
      <c r="E1432">
        <v>53.7</v>
      </c>
      <c r="F1432">
        <v>156.30000000000001</v>
      </c>
      <c r="G1432" s="4">
        <f t="shared" si="44"/>
        <v>21.981449621341895</v>
      </c>
      <c r="H1432" t="s">
        <v>41</v>
      </c>
      <c r="I1432" t="s">
        <v>161</v>
      </c>
      <c r="J1432">
        <v>133</v>
      </c>
      <c r="K1432">
        <v>76</v>
      </c>
      <c r="L1432">
        <v>85</v>
      </c>
      <c r="M1432">
        <v>4</v>
      </c>
      <c r="N1432" s="5">
        <v>9444.49</v>
      </c>
      <c r="O1432" t="s">
        <v>63</v>
      </c>
      <c r="P1432" t="str">
        <f t="shared" si="45"/>
        <v>Hospital Central de Nampula</v>
      </c>
      <c r="Q1432" t="s">
        <v>24</v>
      </c>
      <c r="R1432">
        <v>5</v>
      </c>
    </row>
    <row r="1433" spans="1:18" x14ac:dyDescent="0.45">
      <c r="A1433" t="s">
        <v>1518</v>
      </c>
      <c r="B1433" s="3">
        <v>45021</v>
      </c>
      <c r="C1433">
        <v>59</v>
      </c>
      <c r="D1433" t="s">
        <v>27</v>
      </c>
      <c r="E1433">
        <v>62.6</v>
      </c>
      <c r="F1433">
        <v>172.1</v>
      </c>
      <c r="G1433" s="4">
        <f t="shared" si="44"/>
        <v>21.135503222488989</v>
      </c>
      <c r="H1433" t="s">
        <v>46</v>
      </c>
      <c r="I1433" t="s">
        <v>66</v>
      </c>
      <c r="J1433">
        <v>129</v>
      </c>
      <c r="K1433">
        <v>72</v>
      </c>
      <c r="L1433">
        <v>110</v>
      </c>
      <c r="M1433">
        <v>9</v>
      </c>
      <c r="N1433" s="5">
        <v>29727.3</v>
      </c>
      <c r="O1433" t="s">
        <v>38</v>
      </c>
      <c r="P1433" t="str">
        <f t="shared" si="45"/>
        <v>Hospital Provincial de Xai-Xai</v>
      </c>
      <c r="Q1433" t="s">
        <v>24</v>
      </c>
      <c r="R1433">
        <v>2</v>
      </c>
    </row>
    <row r="1434" spans="1:18" x14ac:dyDescent="0.45">
      <c r="A1434" t="s">
        <v>1519</v>
      </c>
      <c r="B1434" s="3">
        <v>45353</v>
      </c>
      <c r="C1434">
        <v>45</v>
      </c>
      <c r="D1434" t="s">
        <v>27</v>
      </c>
      <c r="E1434">
        <v>70.400000000000006</v>
      </c>
      <c r="F1434">
        <v>140</v>
      </c>
      <c r="G1434" s="4">
        <f t="shared" si="44"/>
        <v>35.91836734693878</v>
      </c>
      <c r="H1434" t="s">
        <v>91</v>
      </c>
      <c r="I1434" t="s">
        <v>116</v>
      </c>
      <c r="J1434">
        <v>120</v>
      </c>
      <c r="K1434">
        <v>80</v>
      </c>
      <c r="L1434">
        <v>75</v>
      </c>
      <c r="M1434">
        <v>1</v>
      </c>
      <c r="N1434" s="5">
        <v>5592.05</v>
      </c>
      <c r="O1434" t="s">
        <v>38</v>
      </c>
      <c r="P1434" t="str">
        <f t="shared" si="45"/>
        <v>Hospital Provincial de Xai-Xai</v>
      </c>
      <c r="Q1434" t="s">
        <v>24</v>
      </c>
      <c r="R1434">
        <v>4</v>
      </c>
    </row>
    <row r="1435" spans="1:18" x14ac:dyDescent="0.45">
      <c r="A1435" t="s">
        <v>1520</v>
      </c>
      <c r="B1435" s="3">
        <v>45252</v>
      </c>
      <c r="C1435">
        <v>29</v>
      </c>
      <c r="D1435" t="s">
        <v>20</v>
      </c>
      <c r="E1435">
        <v>76.2</v>
      </c>
      <c r="F1435">
        <v>171.9</v>
      </c>
      <c r="G1435" s="4">
        <f t="shared" si="44"/>
        <v>25.787142368376433</v>
      </c>
      <c r="H1435" t="s">
        <v>91</v>
      </c>
      <c r="I1435" t="s">
        <v>131</v>
      </c>
      <c r="J1435">
        <v>113</v>
      </c>
      <c r="K1435">
        <v>62</v>
      </c>
      <c r="L1435">
        <v>81</v>
      </c>
      <c r="M1435">
        <v>1</v>
      </c>
      <c r="N1435" s="5">
        <v>5710.02</v>
      </c>
      <c r="O1435" t="s">
        <v>36</v>
      </c>
      <c r="P1435" t="str">
        <f t="shared" si="45"/>
        <v>Hospital Provincial de Lichinga</v>
      </c>
      <c r="Q1435" t="s">
        <v>24</v>
      </c>
      <c r="R1435">
        <v>4</v>
      </c>
    </row>
    <row r="1436" spans="1:18" x14ac:dyDescent="0.45">
      <c r="A1436" t="s">
        <v>1521</v>
      </c>
      <c r="B1436" s="3">
        <v>45231</v>
      </c>
      <c r="C1436">
        <v>48</v>
      </c>
      <c r="D1436" t="s">
        <v>20</v>
      </c>
      <c r="E1436">
        <v>75.099999999999994</v>
      </c>
      <c r="F1436">
        <v>168.5</v>
      </c>
      <c r="G1436" s="4">
        <f t="shared" si="44"/>
        <v>26.450880081712434</v>
      </c>
      <c r="H1436" t="s">
        <v>91</v>
      </c>
      <c r="I1436" t="s">
        <v>92</v>
      </c>
      <c r="J1436">
        <v>102</v>
      </c>
      <c r="K1436">
        <v>55</v>
      </c>
      <c r="L1436">
        <v>119</v>
      </c>
      <c r="M1436">
        <v>3</v>
      </c>
      <c r="N1436" s="5">
        <v>5691.28</v>
      </c>
      <c r="O1436" t="s">
        <v>67</v>
      </c>
      <c r="P1436" t="str">
        <f t="shared" si="45"/>
        <v>Hospital Provincial de Pemba</v>
      </c>
      <c r="Q1436" t="s">
        <v>24</v>
      </c>
      <c r="R1436">
        <v>4</v>
      </c>
    </row>
    <row r="1437" spans="1:18" x14ac:dyDescent="0.45">
      <c r="A1437" t="s">
        <v>1522</v>
      </c>
      <c r="B1437" s="3">
        <v>45439</v>
      </c>
      <c r="C1437">
        <v>0</v>
      </c>
      <c r="D1437" t="s">
        <v>27</v>
      </c>
      <c r="E1437">
        <v>26.2</v>
      </c>
      <c r="F1437">
        <v>93</v>
      </c>
      <c r="G1437" s="4">
        <f t="shared" si="44"/>
        <v>30.292519366400736</v>
      </c>
      <c r="H1437" t="s">
        <v>28</v>
      </c>
      <c r="I1437" t="s">
        <v>73</v>
      </c>
      <c r="J1437">
        <v>88</v>
      </c>
      <c r="K1437">
        <v>55</v>
      </c>
      <c r="L1437">
        <v>82</v>
      </c>
      <c r="M1437">
        <v>2</v>
      </c>
      <c r="N1437" s="5">
        <v>7248.34</v>
      </c>
      <c r="O1437" t="s">
        <v>51</v>
      </c>
      <c r="P1437" t="str">
        <f t="shared" si="45"/>
        <v>Hospital Central de Quelimane</v>
      </c>
      <c r="Q1437" t="s">
        <v>24</v>
      </c>
      <c r="R1437">
        <v>5</v>
      </c>
    </row>
    <row r="1438" spans="1:18" x14ac:dyDescent="0.45">
      <c r="A1438" t="s">
        <v>1523</v>
      </c>
      <c r="B1438" s="3">
        <v>45006</v>
      </c>
      <c r="C1438">
        <v>54</v>
      </c>
      <c r="D1438" t="s">
        <v>27</v>
      </c>
      <c r="E1438">
        <v>84.6</v>
      </c>
      <c r="F1438">
        <v>152.6</v>
      </c>
      <c r="G1438" s="4">
        <f t="shared" si="44"/>
        <v>36.329656852219884</v>
      </c>
      <c r="H1438" t="s">
        <v>21</v>
      </c>
      <c r="I1438" t="s">
        <v>22</v>
      </c>
      <c r="J1438">
        <v>161</v>
      </c>
      <c r="K1438">
        <v>95</v>
      </c>
      <c r="L1438">
        <v>90</v>
      </c>
      <c r="M1438">
        <v>2</v>
      </c>
      <c r="N1438" s="5">
        <v>2606.12</v>
      </c>
      <c r="O1438" t="s">
        <v>63</v>
      </c>
      <c r="P1438" t="str">
        <f t="shared" si="45"/>
        <v>Hospital Central de Nampula</v>
      </c>
      <c r="Q1438" t="s">
        <v>24</v>
      </c>
      <c r="R1438">
        <v>4</v>
      </c>
    </row>
    <row r="1439" spans="1:18" x14ac:dyDescent="0.45">
      <c r="A1439" t="s">
        <v>1524</v>
      </c>
      <c r="B1439" s="3">
        <v>45409</v>
      </c>
      <c r="C1439">
        <v>43</v>
      </c>
      <c r="D1439" t="s">
        <v>20</v>
      </c>
      <c r="E1439">
        <v>51.7</v>
      </c>
      <c r="F1439">
        <v>141.69999999999999</v>
      </c>
      <c r="G1439" s="4">
        <f t="shared" si="44"/>
        <v>25.748435296971103</v>
      </c>
      <c r="H1439" t="s">
        <v>46</v>
      </c>
      <c r="I1439" t="s">
        <v>108</v>
      </c>
      <c r="J1439">
        <v>114</v>
      </c>
      <c r="K1439">
        <v>63</v>
      </c>
      <c r="L1439">
        <v>92</v>
      </c>
      <c r="M1439">
        <v>4</v>
      </c>
      <c r="N1439" s="5">
        <v>9748.3799999999992</v>
      </c>
      <c r="O1439" t="s">
        <v>51</v>
      </c>
      <c r="P1439" t="str">
        <f t="shared" si="45"/>
        <v>Hospital Central de Quelimane</v>
      </c>
      <c r="Q1439" t="s">
        <v>24</v>
      </c>
      <c r="R1439">
        <v>3</v>
      </c>
    </row>
    <row r="1440" spans="1:18" x14ac:dyDescent="0.45">
      <c r="A1440" t="s">
        <v>1525</v>
      </c>
      <c r="B1440" s="3">
        <v>45052</v>
      </c>
      <c r="C1440">
        <v>47</v>
      </c>
      <c r="D1440" t="s">
        <v>27</v>
      </c>
      <c r="E1440">
        <v>55.5</v>
      </c>
      <c r="F1440">
        <v>177.5</v>
      </c>
      <c r="G1440" s="4">
        <f t="shared" si="44"/>
        <v>17.615552469748067</v>
      </c>
      <c r="H1440" t="s">
        <v>91</v>
      </c>
      <c r="I1440" t="s">
        <v>131</v>
      </c>
      <c r="J1440">
        <v>125</v>
      </c>
      <c r="K1440">
        <v>76</v>
      </c>
      <c r="L1440">
        <v>100</v>
      </c>
      <c r="M1440">
        <v>3</v>
      </c>
      <c r="N1440" s="5">
        <v>9546.09</v>
      </c>
      <c r="O1440" t="s">
        <v>63</v>
      </c>
      <c r="P1440" t="str">
        <f t="shared" si="45"/>
        <v>Hospital Central de Nampula</v>
      </c>
      <c r="Q1440" t="s">
        <v>24</v>
      </c>
      <c r="R1440">
        <v>5</v>
      </c>
    </row>
    <row r="1441" spans="1:18" x14ac:dyDescent="0.45">
      <c r="A1441" t="s">
        <v>1526</v>
      </c>
      <c r="B1441" s="3">
        <v>45137</v>
      </c>
      <c r="C1441">
        <v>18</v>
      </c>
      <c r="D1441" t="s">
        <v>20</v>
      </c>
      <c r="E1441">
        <v>76</v>
      </c>
      <c r="F1441">
        <v>166.7</v>
      </c>
      <c r="G1441" s="4">
        <f t="shared" si="44"/>
        <v>27.349059282324703</v>
      </c>
      <c r="H1441" t="s">
        <v>55</v>
      </c>
      <c r="I1441" t="s">
        <v>62</v>
      </c>
      <c r="J1441">
        <v>108</v>
      </c>
      <c r="K1441">
        <v>60</v>
      </c>
      <c r="L1441">
        <v>78</v>
      </c>
      <c r="M1441">
        <v>4</v>
      </c>
      <c r="N1441" s="5">
        <v>15180.47</v>
      </c>
      <c r="O1441" t="s">
        <v>51</v>
      </c>
      <c r="P1441" t="str">
        <f t="shared" si="45"/>
        <v>Hospital Central de Quelimane</v>
      </c>
      <c r="Q1441" t="s">
        <v>24</v>
      </c>
      <c r="R1441">
        <v>4</v>
      </c>
    </row>
    <row r="1442" spans="1:18" x14ac:dyDescent="0.45">
      <c r="A1442" t="s">
        <v>1527</v>
      </c>
      <c r="B1442" s="3">
        <v>45226</v>
      </c>
      <c r="C1442">
        <v>18</v>
      </c>
      <c r="D1442" t="s">
        <v>27</v>
      </c>
      <c r="E1442">
        <v>42.6</v>
      </c>
      <c r="F1442">
        <v>177.6</v>
      </c>
      <c r="G1442" s="4">
        <f t="shared" si="44"/>
        <v>13.50590455320185</v>
      </c>
      <c r="H1442" t="s">
        <v>21</v>
      </c>
      <c r="I1442" t="s">
        <v>22</v>
      </c>
      <c r="J1442">
        <v>145</v>
      </c>
      <c r="K1442">
        <v>90</v>
      </c>
      <c r="L1442">
        <v>103</v>
      </c>
      <c r="M1442">
        <v>3</v>
      </c>
      <c r="N1442" s="5">
        <v>6490.14</v>
      </c>
      <c r="O1442" t="s">
        <v>23</v>
      </c>
      <c r="P1442" t="str">
        <f t="shared" si="45"/>
        <v>Hospital Central de Maputo</v>
      </c>
      <c r="Q1442" t="s">
        <v>24</v>
      </c>
      <c r="R1442">
        <v>5</v>
      </c>
    </row>
    <row r="1443" spans="1:18" x14ac:dyDescent="0.45">
      <c r="A1443" t="s">
        <v>1528</v>
      </c>
      <c r="B1443" s="3">
        <v>44955</v>
      </c>
      <c r="C1443">
        <v>33</v>
      </c>
      <c r="D1443" t="s">
        <v>20</v>
      </c>
      <c r="E1443">
        <v>63.6</v>
      </c>
      <c r="F1443">
        <v>151.6</v>
      </c>
      <c r="G1443" s="4">
        <f t="shared" si="44"/>
        <v>27.673157385426169</v>
      </c>
      <c r="H1443" t="s">
        <v>91</v>
      </c>
      <c r="I1443" t="s">
        <v>116</v>
      </c>
      <c r="J1443">
        <v>110</v>
      </c>
      <c r="K1443">
        <v>68</v>
      </c>
      <c r="L1443">
        <v>77</v>
      </c>
      <c r="M1443">
        <v>1</v>
      </c>
      <c r="N1443" s="5">
        <v>4403.62</v>
      </c>
      <c r="O1443" t="s">
        <v>67</v>
      </c>
      <c r="P1443" t="str">
        <f t="shared" si="45"/>
        <v>Hospital Provincial de Pemba</v>
      </c>
      <c r="Q1443" t="s">
        <v>24</v>
      </c>
      <c r="R1443">
        <v>4</v>
      </c>
    </row>
    <row r="1444" spans="1:18" x14ac:dyDescent="0.45">
      <c r="A1444" t="s">
        <v>1529</v>
      </c>
      <c r="B1444" s="3">
        <v>45137</v>
      </c>
      <c r="C1444">
        <v>42</v>
      </c>
      <c r="D1444" t="s">
        <v>27</v>
      </c>
      <c r="E1444">
        <v>67.599999999999994</v>
      </c>
      <c r="F1444">
        <v>164.6</v>
      </c>
      <c r="G1444" s="4">
        <f t="shared" si="44"/>
        <v>24.95094702869654</v>
      </c>
      <c r="H1444" t="s">
        <v>55</v>
      </c>
      <c r="I1444" t="s">
        <v>62</v>
      </c>
      <c r="J1444">
        <v>119</v>
      </c>
      <c r="K1444">
        <v>79</v>
      </c>
      <c r="L1444">
        <v>98</v>
      </c>
      <c r="M1444">
        <v>3</v>
      </c>
      <c r="N1444" s="5">
        <v>8141.44</v>
      </c>
      <c r="O1444" t="s">
        <v>63</v>
      </c>
      <c r="P1444" t="str">
        <f t="shared" si="45"/>
        <v>Hospital Central de Nampula</v>
      </c>
      <c r="Q1444" t="s">
        <v>24</v>
      </c>
      <c r="R1444">
        <v>4</v>
      </c>
    </row>
    <row r="1445" spans="1:18" x14ac:dyDescent="0.45">
      <c r="A1445" t="s">
        <v>1530</v>
      </c>
      <c r="B1445" s="3">
        <v>45216</v>
      </c>
      <c r="C1445">
        <v>52</v>
      </c>
      <c r="D1445" t="s">
        <v>20</v>
      </c>
      <c r="E1445">
        <v>66.599999999999994</v>
      </c>
      <c r="F1445">
        <v>165.3</v>
      </c>
      <c r="G1445" s="4">
        <f t="shared" si="44"/>
        <v>24.374096264505056</v>
      </c>
      <c r="H1445" t="s">
        <v>46</v>
      </c>
      <c r="I1445" t="s">
        <v>94</v>
      </c>
      <c r="J1445">
        <v>118</v>
      </c>
      <c r="K1445">
        <v>62</v>
      </c>
      <c r="L1445">
        <v>84</v>
      </c>
      <c r="M1445">
        <v>2</v>
      </c>
      <c r="N1445" s="5">
        <v>4687.29</v>
      </c>
      <c r="O1445" t="s">
        <v>67</v>
      </c>
      <c r="P1445" t="str">
        <f t="shared" si="45"/>
        <v>Hospital Provincial de Pemba</v>
      </c>
      <c r="Q1445" t="s">
        <v>76</v>
      </c>
      <c r="R1445">
        <v>5</v>
      </c>
    </row>
    <row r="1446" spans="1:18" x14ac:dyDescent="0.45">
      <c r="A1446" t="s">
        <v>1531</v>
      </c>
      <c r="B1446" s="3">
        <v>45001</v>
      </c>
      <c r="C1446">
        <v>4</v>
      </c>
      <c r="D1446" t="s">
        <v>20</v>
      </c>
      <c r="E1446">
        <v>19.2</v>
      </c>
      <c r="F1446">
        <v>144.5</v>
      </c>
      <c r="G1446" s="4">
        <f t="shared" si="44"/>
        <v>9.1952922019611822</v>
      </c>
      <c r="H1446" t="s">
        <v>28</v>
      </c>
      <c r="I1446" t="s">
        <v>29</v>
      </c>
      <c r="J1446">
        <v>100</v>
      </c>
      <c r="K1446">
        <v>74</v>
      </c>
      <c r="L1446">
        <v>100</v>
      </c>
      <c r="M1446">
        <v>1</v>
      </c>
      <c r="N1446" s="5">
        <v>2044.39</v>
      </c>
      <c r="O1446" t="s">
        <v>30</v>
      </c>
      <c r="P1446" t="str">
        <f t="shared" si="45"/>
        <v>Hospital Provincial de Inhambane</v>
      </c>
      <c r="Q1446" t="s">
        <v>24</v>
      </c>
      <c r="R1446">
        <v>2</v>
      </c>
    </row>
    <row r="1447" spans="1:18" x14ac:dyDescent="0.45">
      <c r="A1447" t="s">
        <v>1532</v>
      </c>
      <c r="B1447" s="3">
        <v>45416</v>
      </c>
      <c r="C1447">
        <v>32</v>
      </c>
      <c r="D1447" t="s">
        <v>20</v>
      </c>
      <c r="E1447">
        <v>78.400000000000006</v>
      </c>
      <c r="F1447">
        <v>166.1</v>
      </c>
      <c r="G1447" s="4">
        <f t="shared" si="44"/>
        <v>28.416906464520007</v>
      </c>
      <c r="H1447" t="s">
        <v>41</v>
      </c>
      <c r="I1447" t="s">
        <v>217</v>
      </c>
      <c r="J1447">
        <v>122</v>
      </c>
      <c r="K1447">
        <v>77</v>
      </c>
      <c r="L1447">
        <v>65</v>
      </c>
      <c r="M1447">
        <v>8</v>
      </c>
      <c r="N1447" s="5">
        <v>22708.79</v>
      </c>
      <c r="O1447" t="s">
        <v>63</v>
      </c>
      <c r="P1447" t="str">
        <f t="shared" si="45"/>
        <v>Hospital Central de Nampula</v>
      </c>
      <c r="Q1447" t="s">
        <v>37</v>
      </c>
      <c r="R1447">
        <v>2</v>
      </c>
    </row>
    <row r="1448" spans="1:18" x14ac:dyDescent="0.45">
      <c r="A1448" t="s">
        <v>1533</v>
      </c>
      <c r="B1448" s="3">
        <v>45625</v>
      </c>
      <c r="C1448">
        <v>42</v>
      </c>
      <c r="D1448" t="s">
        <v>27</v>
      </c>
      <c r="E1448">
        <v>63.8</v>
      </c>
      <c r="F1448">
        <v>170.7</v>
      </c>
      <c r="G1448" s="4">
        <f t="shared" si="44"/>
        <v>21.895437958521534</v>
      </c>
      <c r="H1448" t="s">
        <v>34</v>
      </c>
      <c r="I1448" t="s">
        <v>128</v>
      </c>
      <c r="J1448">
        <v>93</v>
      </c>
      <c r="K1448">
        <v>60</v>
      </c>
      <c r="L1448">
        <v>112</v>
      </c>
      <c r="M1448">
        <v>3</v>
      </c>
      <c r="N1448" s="5">
        <v>8717.83</v>
      </c>
      <c r="O1448" t="s">
        <v>23</v>
      </c>
      <c r="P1448" t="str">
        <f t="shared" si="45"/>
        <v>Hospital Central de Maputo</v>
      </c>
      <c r="Q1448" t="s">
        <v>37</v>
      </c>
      <c r="R1448">
        <v>4</v>
      </c>
    </row>
    <row r="1449" spans="1:18" x14ac:dyDescent="0.45">
      <c r="A1449" t="s">
        <v>1534</v>
      </c>
      <c r="B1449" s="3">
        <v>45574</v>
      </c>
      <c r="C1449">
        <v>71</v>
      </c>
      <c r="D1449" t="s">
        <v>27</v>
      </c>
      <c r="E1449">
        <v>62.1</v>
      </c>
      <c r="F1449">
        <v>166.3</v>
      </c>
      <c r="G1449" s="4">
        <f t="shared" si="44"/>
        <v>22.454691963932195</v>
      </c>
      <c r="H1449" t="s">
        <v>91</v>
      </c>
      <c r="I1449" t="s">
        <v>131</v>
      </c>
      <c r="J1449">
        <v>135</v>
      </c>
      <c r="K1449">
        <v>81</v>
      </c>
      <c r="L1449">
        <v>65</v>
      </c>
      <c r="M1449">
        <v>1</v>
      </c>
      <c r="N1449" s="5">
        <v>5041.88</v>
      </c>
      <c r="O1449" t="s">
        <v>31</v>
      </c>
      <c r="P1449" t="str">
        <f t="shared" si="45"/>
        <v>Hospital Provincial da Matola</v>
      </c>
      <c r="Q1449" t="s">
        <v>24</v>
      </c>
      <c r="R1449">
        <v>4</v>
      </c>
    </row>
    <row r="1450" spans="1:18" x14ac:dyDescent="0.45">
      <c r="A1450" t="s">
        <v>1535</v>
      </c>
      <c r="B1450" s="3">
        <v>45008</v>
      </c>
      <c r="C1450">
        <v>50</v>
      </c>
      <c r="D1450" t="s">
        <v>20</v>
      </c>
      <c r="E1450">
        <v>94.2</v>
      </c>
      <c r="F1450">
        <v>155.4</v>
      </c>
      <c r="G1450" s="4">
        <f t="shared" si="44"/>
        <v>39.007567965096918</v>
      </c>
      <c r="H1450" t="s">
        <v>34</v>
      </c>
      <c r="I1450" t="s">
        <v>35</v>
      </c>
      <c r="J1450">
        <v>113</v>
      </c>
      <c r="K1450">
        <v>65</v>
      </c>
      <c r="L1450">
        <v>104</v>
      </c>
      <c r="M1450">
        <v>1</v>
      </c>
      <c r="N1450" s="5">
        <v>3344.06</v>
      </c>
      <c r="O1450" t="s">
        <v>38</v>
      </c>
      <c r="P1450" t="str">
        <f t="shared" si="45"/>
        <v>Hospital Provincial de Xai-Xai</v>
      </c>
      <c r="Q1450" t="s">
        <v>24</v>
      </c>
      <c r="R1450">
        <v>5</v>
      </c>
    </row>
    <row r="1451" spans="1:18" x14ac:dyDescent="0.45">
      <c r="A1451" t="s">
        <v>1536</v>
      </c>
      <c r="B1451" s="3">
        <v>45011</v>
      </c>
      <c r="C1451">
        <v>1</v>
      </c>
      <c r="D1451" t="s">
        <v>27</v>
      </c>
      <c r="E1451">
        <v>15.3</v>
      </c>
      <c r="F1451">
        <v>45</v>
      </c>
      <c r="G1451" s="4">
        <f t="shared" si="44"/>
        <v>75.555555555555557</v>
      </c>
      <c r="H1451" t="s">
        <v>28</v>
      </c>
      <c r="I1451" t="s">
        <v>73</v>
      </c>
      <c r="J1451">
        <v>93</v>
      </c>
      <c r="K1451">
        <v>55</v>
      </c>
      <c r="L1451">
        <v>70</v>
      </c>
      <c r="M1451">
        <v>2</v>
      </c>
      <c r="N1451" s="5">
        <v>4632.67</v>
      </c>
      <c r="O1451" t="s">
        <v>31</v>
      </c>
      <c r="P1451" t="str">
        <f t="shared" si="45"/>
        <v>Hospital Provincial da Matola</v>
      </c>
      <c r="Q1451" t="s">
        <v>24</v>
      </c>
      <c r="R1451">
        <v>5</v>
      </c>
    </row>
    <row r="1452" spans="1:18" x14ac:dyDescent="0.45">
      <c r="A1452" t="s">
        <v>1537</v>
      </c>
      <c r="B1452" s="3">
        <v>45435</v>
      </c>
      <c r="C1452">
        <v>38</v>
      </c>
      <c r="D1452" t="s">
        <v>27</v>
      </c>
      <c r="E1452">
        <v>42.3</v>
      </c>
      <c r="F1452">
        <v>163.19999999999999</v>
      </c>
      <c r="G1452" s="4">
        <f t="shared" si="44"/>
        <v>15.881812283737025</v>
      </c>
      <c r="H1452" t="s">
        <v>99</v>
      </c>
      <c r="I1452" t="s">
        <v>151</v>
      </c>
      <c r="J1452">
        <v>117</v>
      </c>
      <c r="K1452">
        <v>78</v>
      </c>
      <c r="L1452">
        <v>81</v>
      </c>
      <c r="M1452">
        <v>3</v>
      </c>
      <c r="N1452" s="5">
        <v>9018.3700000000008</v>
      </c>
      <c r="O1452" t="s">
        <v>52</v>
      </c>
      <c r="P1452" t="str">
        <f t="shared" si="45"/>
        <v>Hospital Provincial de Chimoio</v>
      </c>
      <c r="Q1452" t="s">
        <v>37</v>
      </c>
      <c r="R1452">
        <v>4</v>
      </c>
    </row>
    <row r="1453" spans="1:18" x14ac:dyDescent="0.45">
      <c r="A1453" t="s">
        <v>1538</v>
      </c>
      <c r="B1453" s="3">
        <v>45546</v>
      </c>
      <c r="C1453">
        <v>60</v>
      </c>
      <c r="D1453" t="s">
        <v>27</v>
      </c>
      <c r="E1453">
        <v>69.599999999999994</v>
      </c>
      <c r="F1453">
        <v>161.6</v>
      </c>
      <c r="G1453" s="4">
        <f t="shared" si="44"/>
        <v>26.651798843250663</v>
      </c>
      <c r="H1453" t="s">
        <v>41</v>
      </c>
      <c r="I1453" t="s">
        <v>217</v>
      </c>
      <c r="J1453">
        <v>125</v>
      </c>
      <c r="K1453">
        <v>86</v>
      </c>
      <c r="L1453">
        <v>90</v>
      </c>
      <c r="M1453">
        <v>1</v>
      </c>
      <c r="N1453" s="5">
        <v>5449.41</v>
      </c>
      <c r="O1453" t="s">
        <v>67</v>
      </c>
      <c r="P1453" t="str">
        <f t="shared" si="45"/>
        <v>Hospital Provincial de Pemba</v>
      </c>
      <c r="Q1453" t="s">
        <v>24</v>
      </c>
      <c r="R1453">
        <v>4</v>
      </c>
    </row>
    <row r="1454" spans="1:18" x14ac:dyDescent="0.45">
      <c r="A1454" t="s">
        <v>1539</v>
      </c>
      <c r="B1454" s="3">
        <v>45443</v>
      </c>
      <c r="C1454">
        <v>30</v>
      </c>
      <c r="D1454" t="s">
        <v>27</v>
      </c>
      <c r="E1454">
        <v>52.5</v>
      </c>
      <c r="F1454">
        <v>158.4</v>
      </c>
      <c r="G1454" s="4">
        <f t="shared" si="44"/>
        <v>20.924204162840525</v>
      </c>
      <c r="H1454" t="s">
        <v>99</v>
      </c>
      <c r="I1454" t="s">
        <v>105</v>
      </c>
      <c r="J1454">
        <v>115</v>
      </c>
      <c r="K1454">
        <v>77</v>
      </c>
      <c r="L1454">
        <v>108</v>
      </c>
      <c r="M1454">
        <v>2</v>
      </c>
      <c r="N1454" s="5">
        <v>3705.72</v>
      </c>
      <c r="O1454" t="s">
        <v>23</v>
      </c>
      <c r="P1454" t="str">
        <f t="shared" si="45"/>
        <v>Hospital Central de Maputo</v>
      </c>
      <c r="Q1454" t="s">
        <v>24</v>
      </c>
      <c r="R1454">
        <v>2</v>
      </c>
    </row>
    <row r="1455" spans="1:18" x14ac:dyDescent="0.45">
      <c r="A1455" t="s">
        <v>1540</v>
      </c>
      <c r="B1455" s="3">
        <v>45228</v>
      </c>
      <c r="C1455">
        <v>46</v>
      </c>
      <c r="D1455" t="s">
        <v>27</v>
      </c>
      <c r="E1455">
        <v>34.1</v>
      </c>
      <c r="F1455">
        <v>189.1</v>
      </c>
      <c r="G1455" s="4">
        <f t="shared" si="44"/>
        <v>9.5361115204896372</v>
      </c>
      <c r="H1455" t="s">
        <v>21</v>
      </c>
      <c r="I1455" t="s">
        <v>89</v>
      </c>
      <c r="J1455">
        <v>141</v>
      </c>
      <c r="K1455">
        <v>84</v>
      </c>
      <c r="L1455">
        <v>96</v>
      </c>
      <c r="M1455">
        <v>1</v>
      </c>
      <c r="N1455" s="5">
        <v>4490.74</v>
      </c>
      <c r="O1455" t="s">
        <v>63</v>
      </c>
      <c r="P1455" t="str">
        <f t="shared" si="45"/>
        <v>Hospital Central de Nampula</v>
      </c>
      <c r="Q1455" t="s">
        <v>37</v>
      </c>
      <c r="R1455">
        <v>1</v>
      </c>
    </row>
    <row r="1456" spans="1:18" x14ac:dyDescent="0.45">
      <c r="A1456" t="s">
        <v>1541</v>
      </c>
      <c r="B1456" s="3">
        <v>45580</v>
      </c>
      <c r="C1456">
        <v>18</v>
      </c>
      <c r="D1456" t="s">
        <v>27</v>
      </c>
      <c r="E1456">
        <v>49.2</v>
      </c>
      <c r="F1456">
        <v>155.1</v>
      </c>
      <c r="G1456" s="4">
        <f t="shared" si="44"/>
        <v>20.452269516016997</v>
      </c>
      <c r="H1456" t="s">
        <v>91</v>
      </c>
      <c r="I1456" t="s">
        <v>92</v>
      </c>
      <c r="J1456">
        <v>108</v>
      </c>
      <c r="K1456">
        <v>73</v>
      </c>
      <c r="L1456">
        <v>88</v>
      </c>
      <c r="M1456">
        <v>1</v>
      </c>
      <c r="N1456" s="5">
        <v>3533.58</v>
      </c>
      <c r="O1456" t="s">
        <v>63</v>
      </c>
      <c r="P1456" t="str">
        <f t="shared" si="45"/>
        <v>Hospital Central de Nampula</v>
      </c>
      <c r="Q1456" t="s">
        <v>24</v>
      </c>
      <c r="R1456">
        <v>3</v>
      </c>
    </row>
    <row r="1457" spans="1:18" x14ac:dyDescent="0.45">
      <c r="A1457" t="s">
        <v>1542</v>
      </c>
      <c r="B1457" s="3">
        <v>45073</v>
      </c>
      <c r="C1457">
        <v>17</v>
      </c>
      <c r="D1457" t="s">
        <v>20</v>
      </c>
      <c r="E1457">
        <v>78.5</v>
      </c>
      <c r="F1457">
        <v>160.6</v>
      </c>
      <c r="G1457" s="4">
        <f t="shared" si="44"/>
        <v>30.43536923336989</v>
      </c>
      <c r="H1457" t="s">
        <v>28</v>
      </c>
      <c r="I1457" t="s">
        <v>75</v>
      </c>
      <c r="J1457">
        <v>85</v>
      </c>
      <c r="K1457">
        <v>55</v>
      </c>
      <c r="L1457">
        <v>70</v>
      </c>
      <c r="M1457">
        <v>3</v>
      </c>
      <c r="N1457" s="5">
        <v>7507.96</v>
      </c>
      <c r="O1457" t="s">
        <v>38</v>
      </c>
      <c r="P1457" t="str">
        <f t="shared" si="45"/>
        <v>Hospital Provincial de Xai-Xai</v>
      </c>
      <c r="Q1457" t="s">
        <v>24</v>
      </c>
      <c r="R1457">
        <v>5</v>
      </c>
    </row>
    <row r="1458" spans="1:18" x14ac:dyDescent="0.45">
      <c r="A1458" t="s">
        <v>1543</v>
      </c>
      <c r="B1458" s="3">
        <v>45201</v>
      </c>
      <c r="C1458">
        <v>35</v>
      </c>
      <c r="D1458" t="s">
        <v>27</v>
      </c>
      <c r="E1458">
        <v>89</v>
      </c>
      <c r="F1458">
        <v>165.6</v>
      </c>
      <c r="G1458" s="4">
        <f t="shared" si="44"/>
        <v>32.454082942425728</v>
      </c>
      <c r="H1458" t="s">
        <v>55</v>
      </c>
      <c r="I1458" t="s">
        <v>80</v>
      </c>
      <c r="J1458">
        <v>118</v>
      </c>
      <c r="K1458">
        <v>74</v>
      </c>
      <c r="L1458">
        <v>90</v>
      </c>
      <c r="M1458">
        <v>6</v>
      </c>
      <c r="N1458" s="5">
        <v>21525.26</v>
      </c>
      <c r="O1458" t="s">
        <v>30</v>
      </c>
      <c r="P1458" t="str">
        <f t="shared" si="45"/>
        <v>Hospital Provincial de Inhambane</v>
      </c>
      <c r="Q1458" t="s">
        <v>24</v>
      </c>
      <c r="R1458">
        <v>4</v>
      </c>
    </row>
    <row r="1459" spans="1:18" x14ac:dyDescent="0.45">
      <c r="A1459" t="s">
        <v>1544</v>
      </c>
      <c r="B1459" s="3">
        <v>45076</v>
      </c>
      <c r="C1459">
        <v>63</v>
      </c>
      <c r="D1459" t="s">
        <v>20</v>
      </c>
      <c r="E1459">
        <v>63.3</v>
      </c>
      <c r="F1459">
        <v>164</v>
      </c>
      <c r="G1459" s="4">
        <f t="shared" si="44"/>
        <v>23.535098155859611</v>
      </c>
      <c r="H1459" t="s">
        <v>46</v>
      </c>
      <c r="I1459" t="s">
        <v>94</v>
      </c>
      <c r="J1459">
        <v>134</v>
      </c>
      <c r="K1459">
        <v>80</v>
      </c>
      <c r="L1459">
        <v>65</v>
      </c>
      <c r="M1459">
        <v>1</v>
      </c>
      <c r="N1459" s="5">
        <v>5665.25</v>
      </c>
      <c r="O1459" t="s">
        <v>57</v>
      </c>
      <c r="P1459" t="str">
        <f t="shared" si="45"/>
        <v>Hospital Provincial de Tete</v>
      </c>
      <c r="Q1459" t="s">
        <v>24</v>
      </c>
      <c r="R1459">
        <v>3</v>
      </c>
    </row>
    <row r="1460" spans="1:18" x14ac:dyDescent="0.45">
      <c r="A1460" t="s">
        <v>1545</v>
      </c>
      <c r="B1460" s="3">
        <v>45057</v>
      </c>
      <c r="C1460">
        <v>12</v>
      </c>
      <c r="D1460" t="s">
        <v>27</v>
      </c>
      <c r="E1460">
        <v>60.6</v>
      </c>
      <c r="F1460">
        <v>166.3</v>
      </c>
      <c r="G1460" s="4">
        <f t="shared" si="44"/>
        <v>21.912308100069097</v>
      </c>
      <c r="H1460" t="s">
        <v>99</v>
      </c>
      <c r="I1460" t="s">
        <v>105</v>
      </c>
      <c r="J1460">
        <v>99</v>
      </c>
      <c r="K1460">
        <v>73</v>
      </c>
      <c r="L1460">
        <v>99</v>
      </c>
      <c r="M1460">
        <v>1</v>
      </c>
      <c r="N1460" s="5">
        <v>4618.78</v>
      </c>
      <c r="O1460" t="s">
        <v>63</v>
      </c>
      <c r="P1460" t="str">
        <f t="shared" si="45"/>
        <v>Hospital Central de Nampula</v>
      </c>
      <c r="Q1460" t="s">
        <v>24</v>
      </c>
      <c r="R1460">
        <v>5</v>
      </c>
    </row>
    <row r="1461" spans="1:18" x14ac:dyDescent="0.45">
      <c r="A1461" t="s">
        <v>1546</v>
      </c>
      <c r="B1461" s="3">
        <v>45598</v>
      </c>
      <c r="C1461">
        <v>17</v>
      </c>
      <c r="D1461" t="s">
        <v>27</v>
      </c>
      <c r="E1461">
        <v>67</v>
      </c>
      <c r="F1461">
        <v>160.69999999999999</v>
      </c>
      <c r="G1461" s="4">
        <f t="shared" si="44"/>
        <v>25.944365213020664</v>
      </c>
      <c r="H1461" t="s">
        <v>28</v>
      </c>
      <c r="I1461" t="s">
        <v>73</v>
      </c>
      <c r="J1461">
        <v>97</v>
      </c>
      <c r="K1461">
        <v>62</v>
      </c>
      <c r="L1461">
        <v>81</v>
      </c>
      <c r="M1461">
        <v>1</v>
      </c>
      <c r="N1461" s="5">
        <v>3276.32</v>
      </c>
      <c r="O1461" t="s">
        <v>52</v>
      </c>
      <c r="P1461" t="str">
        <f t="shared" si="45"/>
        <v>Hospital Provincial de Chimoio</v>
      </c>
      <c r="Q1461" t="s">
        <v>24</v>
      </c>
      <c r="R1461">
        <v>1</v>
      </c>
    </row>
    <row r="1462" spans="1:18" x14ac:dyDescent="0.45">
      <c r="A1462" t="s">
        <v>1547</v>
      </c>
      <c r="B1462" s="3">
        <v>45154</v>
      </c>
      <c r="C1462">
        <v>58</v>
      </c>
      <c r="D1462" t="s">
        <v>27</v>
      </c>
      <c r="E1462">
        <v>60</v>
      </c>
      <c r="F1462">
        <v>156.30000000000001</v>
      </c>
      <c r="G1462" s="4">
        <f t="shared" si="44"/>
        <v>24.560278906527255</v>
      </c>
      <c r="H1462" t="s">
        <v>41</v>
      </c>
      <c r="I1462" t="s">
        <v>217</v>
      </c>
      <c r="J1462">
        <v>115</v>
      </c>
      <c r="K1462">
        <v>61</v>
      </c>
      <c r="L1462">
        <v>80</v>
      </c>
      <c r="M1462">
        <v>4</v>
      </c>
      <c r="N1462" s="5">
        <v>7649.7</v>
      </c>
      <c r="O1462" t="s">
        <v>57</v>
      </c>
      <c r="P1462" t="str">
        <f t="shared" si="45"/>
        <v>Hospital Provincial de Tete</v>
      </c>
      <c r="Q1462" t="s">
        <v>37</v>
      </c>
      <c r="R1462">
        <v>4</v>
      </c>
    </row>
    <row r="1463" spans="1:18" x14ac:dyDescent="0.45">
      <c r="A1463" t="s">
        <v>1548</v>
      </c>
      <c r="B1463" s="3">
        <v>45172</v>
      </c>
      <c r="C1463">
        <v>69</v>
      </c>
      <c r="D1463" t="s">
        <v>27</v>
      </c>
      <c r="E1463">
        <v>89.7</v>
      </c>
      <c r="F1463">
        <v>164.4</v>
      </c>
      <c r="G1463" s="4">
        <f t="shared" si="44"/>
        <v>33.18859111655744</v>
      </c>
      <c r="H1463" t="s">
        <v>55</v>
      </c>
      <c r="I1463" t="s">
        <v>62</v>
      </c>
      <c r="J1463">
        <v>120</v>
      </c>
      <c r="K1463">
        <v>76</v>
      </c>
      <c r="L1463">
        <v>69</v>
      </c>
      <c r="M1463">
        <v>1</v>
      </c>
      <c r="N1463" s="5">
        <v>6455.43</v>
      </c>
      <c r="O1463" t="s">
        <v>38</v>
      </c>
      <c r="P1463" t="str">
        <f t="shared" si="45"/>
        <v>Hospital Provincial de Xai-Xai</v>
      </c>
      <c r="Q1463" t="s">
        <v>24</v>
      </c>
      <c r="R1463">
        <v>5</v>
      </c>
    </row>
    <row r="1464" spans="1:18" x14ac:dyDescent="0.45">
      <c r="A1464" t="s">
        <v>1549</v>
      </c>
      <c r="B1464" s="3">
        <v>45356</v>
      </c>
      <c r="C1464">
        <v>51</v>
      </c>
      <c r="D1464" t="s">
        <v>27</v>
      </c>
      <c r="E1464">
        <v>42.6</v>
      </c>
      <c r="F1464">
        <v>165.3</v>
      </c>
      <c r="G1464" s="4">
        <f t="shared" si="44"/>
        <v>15.590638151169902</v>
      </c>
      <c r="H1464" t="s">
        <v>55</v>
      </c>
      <c r="I1464" t="s">
        <v>197</v>
      </c>
      <c r="J1464">
        <v>117</v>
      </c>
      <c r="K1464">
        <v>67</v>
      </c>
      <c r="L1464">
        <v>98</v>
      </c>
      <c r="M1464">
        <v>5</v>
      </c>
      <c r="N1464" s="5">
        <v>12371.01</v>
      </c>
      <c r="O1464" t="s">
        <v>38</v>
      </c>
      <c r="P1464" t="str">
        <f t="shared" si="45"/>
        <v>Hospital Provincial de Xai-Xai</v>
      </c>
      <c r="Q1464" t="s">
        <v>24</v>
      </c>
      <c r="R1464">
        <v>3</v>
      </c>
    </row>
    <row r="1465" spans="1:18" x14ac:dyDescent="0.45">
      <c r="A1465" t="s">
        <v>1550</v>
      </c>
      <c r="B1465" s="3">
        <v>45381</v>
      </c>
      <c r="C1465">
        <v>30</v>
      </c>
      <c r="D1465" t="s">
        <v>20</v>
      </c>
      <c r="E1465">
        <v>75.2</v>
      </c>
      <c r="F1465">
        <v>171.9</v>
      </c>
      <c r="G1465" s="4">
        <f t="shared" si="44"/>
        <v>25.448728426534224</v>
      </c>
      <c r="H1465" t="s">
        <v>21</v>
      </c>
      <c r="I1465" t="s">
        <v>22</v>
      </c>
      <c r="J1465">
        <v>131</v>
      </c>
      <c r="K1465">
        <v>76</v>
      </c>
      <c r="L1465">
        <v>83</v>
      </c>
      <c r="M1465">
        <v>9</v>
      </c>
      <c r="N1465" s="5">
        <v>11021.65</v>
      </c>
      <c r="O1465" t="s">
        <v>57</v>
      </c>
      <c r="P1465" t="str">
        <f t="shared" si="45"/>
        <v>Hospital Provincial de Tete</v>
      </c>
      <c r="Q1465" t="s">
        <v>24</v>
      </c>
      <c r="R1465">
        <v>3</v>
      </c>
    </row>
    <row r="1466" spans="1:18" x14ac:dyDescent="0.45">
      <c r="A1466" t="s">
        <v>1551</v>
      </c>
      <c r="B1466" s="3">
        <v>45335</v>
      </c>
      <c r="C1466">
        <v>46</v>
      </c>
      <c r="D1466" t="s">
        <v>20</v>
      </c>
      <c r="E1466">
        <v>41.9</v>
      </c>
      <c r="F1466">
        <v>156.9</v>
      </c>
      <c r="G1466" s="4">
        <f t="shared" si="44"/>
        <v>17.020336255225427</v>
      </c>
      <c r="H1466" t="s">
        <v>46</v>
      </c>
      <c r="I1466" t="s">
        <v>108</v>
      </c>
      <c r="J1466">
        <v>124</v>
      </c>
      <c r="K1466">
        <v>79</v>
      </c>
      <c r="L1466">
        <v>81</v>
      </c>
      <c r="M1466">
        <v>6</v>
      </c>
      <c r="N1466" s="5">
        <v>18847.63</v>
      </c>
      <c r="O1466" t="s">
        <v>51</v>
      </c>
      <c r="P1466" t="str">
        <f t="shared" si="45"/>
        <v>Hospital Central de Quelimane</v>
      </c>
      <c r="Q1466" t="s">
        <v>24</v>
      </c>
      <c r="R1466">
        <v>3</v>
      </c>
    </row>
    <row r="1467" spans="1:18" x14ac:dyDescent="0.45">
      <c r="A1467" t="s">
        <v>1552</v>
      </c>
      <c r="B1467" s="3">
        <v>45183</v>
      </c>
      <c r="C1467">
        <v>16</v>
      </c>
      <c r="D1467" t="s">
        <v>20</v>
      </c>
      <c r="E1467">
        <v>54.5</v>
      </c>
      <c r="F1467">
        <v>163.80000000000001</v>
      </c>
      <c r="G1467" s="4">
        <f t="shared" si="44"/>
        <v>20.312749250478188</v>
      </c>
      <c r="H1467" t="s">
        <v>28</v>
      </c>
      <c r="I1467" t="s">
        <v>29</v>
      </c>
      <c r="J1467">
        <v>100</v>
      </c>
      <c r="K1467">
        <v>62</v>
      </c>
      <c r="L1467">
        <v>99</v>
      </c>
      <c r="M1467">
        <v>1</v>
      </c>
      <c r="N1467" s="5">
        <v>5369.24</v>
      </c>
      <c r="O1467" t="s">
        <v>30</v>
      </c>
      <c r="P1467" t="str">
        <f t="shared" si="45"/>
        <v>Hospital Provincial de Inhambane</v>
      </c>
      <c r="Q1467" t="s">
        <v>24</v>
      </c>
      <c r="R1467">
        <v>4</v>
      </c>
    </row>
    <row r="1468" spans="1:18" x14ac:dyDescent="0.45">
      <c r="A1468" t="s">
        <v>1553</v>
      </c>
      <c r="B1468" s="3">
        <v>45525</v>
      </c>
      <c r="C1468">
        <v>47</v>
      </c>
      <c r="D1468" t="s">
        <v>20</v>
      </c>
      <c r="E1468">
        <v>59.5</v>
      </c>
      <c r="F1468">
        <v>154.9</v>
      </c>
      <c r="G1468" s="4">
        <f t="shared" si="44"/>
        <v>24.79785579817629</v>
      </c>
      <c r="H1468" t="s">
        <v>91</v>
      </c>
      <c r="I1468" t="s">
        <v>131</v>
      </c>
      <c r="J1468">
        <v>122</v>
      </c>
      <c r="K1468">
        <v>78</v>
      </c>
      <c r="L1468">
        <v>77</v>
      </c>
      <c r="M1468">
        <v>5</v>
      </c>
      <c r="N1468" s="5">
        <v>8096.3</v>
      </c>
      <c r="O1468" t="s">
        <v>63</v>
      </c>
      <c r="P1468" t="str">
        <f t="shared" si="45"/>
        <v>Hospital Central de Nampula</v>
      </c>
      <c r="Q1468" t="s">
        <v>24</v>
      </c>
      <c r="R1468">
        <v>3</v>
      </c>
    </row>
    <row r="1469" spans="1:18" x14ac:dyDescent="0.45">
      <c r="A1469" t="s">
        <v>1554</v>
      </c>
      <c r="B1469" s="3">
        <v>45112</v>
      </c>
      <c r="C1469">
        <v>28</v>
      </c>
      <c r="D1469" t="s">
        <v>27</v>
      </c>
      <c r="E1469">
        <v>43.1</v>
      </c>
      <c r="F1469">
        <v>150.1</v>
      </c>
      <c r="G1469" s="4">
        <f t="shared" si="44"/>
        <v>19.13004033287158</v>
      </c>
      <c r="H1469" t="s">
        <v>99</v>
      </c>
      <c r="I1469" t="s">
        <v>151</v>
      </c>
      <c r="J1469">
        <v>118</v>
      </c>
      <c r="K1469">
        <v>77</v>
      </c>
      <c r="L1469">
        <v>92</v>
      </c>
      <c r="M1469">
        <v>7</v>
      </c>
      <c r="N1469" s="5">
        <v>17858.28</v>
      </c>
      <c r="O1469" t="s">
        <v>63</v>
      </c>
      <c r="P1469" t="str">
        <f t="shared" si="45"/>
        <v>Hospital Central de Nampula</v>
      </c>
      <c r="Q1469" t="s">
        <v>24</v>
      </c>
      <c r="R1469">
        <v>4</v>
      </c>
    </row>
    <row r="1470" spans="1:18" x14ac:dyDescent="0.45">
      <c r="A1470" t="s">
        <v>1555</v>
      </c>
      <c r="B1470" s="3">
        <v>45380</v>
      </c>
      <c r="C1470">
        <v>38</v>
      </c>
      <c r="D1470" t="s">
        <v>20</v>
      </c>
      <c r="E1470">
        <v>59.1</v>
      </c>
      <c r="F1470">
        <v>174.6</v>
      </c>
      <c r="G1470" s="4">
        <f t="shared" si="44"/>
        <v>19.386481816070511</v>
      </c>
      <c r="H1470" t="s">
        <v>21</v>
      </c>
      <c r="I1470" t="s">
        <v>123</v>
      </c>
      <c r="J1470">
        <v>116</v>
      </c>
      <c r="K1470">
        <v>70</v>
      </c>
      <c r="L1470">
        <v>106</v>
      </c>
      <c r="M1470">
        <v>10</v>
      </c>
      <c r="N1470" s="5">
        <v>14036.76</v>
      </c>
      <c r="O1470" t="s">
        <v>51</v>
      </c>
      <c r="P1470" t="str">
        <f t="shared" si="45"/>
        <v>Hospital Central de Quelimane</v>
      </c>
      <c r="Q1470" t="s">
        <v>24</v>
      </c>
      <c r="R1470">
        <v>5</v>
      </c>
    </row>
    <row r="1471" spans="1:18" x14ac:dyDescent="0.45">
      <c r="A1471" t="s">
        <v>1556</v>
      </c>
      <c r="B1471" s="3">
        <v>45318</v>
      </c>
      <c r="C1471">
        <v>47</v>
      </c>
      <c r="D1471" t="s">
        <v>20</v>
      </c>
      <c r="E1471">
        <v>85.3</v>
      </c>
      <c r="F1471">
        <v>142.1</v>
      </c>
      <c r="G1471" s="4">
        <f t="shared" si="44"/>
        <v>42.243595489592373</v>
      </c>
      <c r="H1471" t="s">
        <v>41</v>
      </c>
      <c r="I1471" t="s">
        <v>217</v>
      </c>
      <c r="J1471">
        <v>127</v>
      </c>
      <c r="K1471">
        <v>69</v>
      </c>
      <c r="L1471">
        <v>99</v>
      </c>
      <c r="M1471">
        <v>1</v>
      </c>
      <c r="N1471" s="5">
        <v>2000.84</v>
      </c>
      <c r="O1471" t="s">
        <v>52</v>
      </c>
      <c r="P1471" t="str">
        <f t="shared" si="45"/>
        <v>Hospital Provincial de Chimoio</v>
      </c>
      <c r="Q1471" t="s">
        <v>202</v>
      </c>
      <c r="R1471">
        <v>4</v>
      </c>
    </row>
    <row r="1472" spans="1:18" x14ac:dyDescent="0.45">
      <c r="A1472" t="s">
        <v>1557</v>
      </c>
      <c r="B1472" s="3">
        <v>45116</v>
      </c>
      <c r="C1472">
        <v>36</v>
      </c>
      <c r="D1472" t="s">
        <v>20</v>
      </c>
      <c r="E1472">
        <v>60.7</v>
      </c>
      <c r="F1472">
        <v>161.69999999999999</v>
      </c>
      <c r="G1472" s="4">
        <f t="shared" si="44"/>
        <v>23.214998036095309</v>
      </c>
      <c r="H1472" t="s">
        <v>21</v>
      </c>
      <c r="I1472" t="s">
        <v>22</v>
      </c>
      <c r="J1472">
        <v>124</v>
      </c>
      <c r="K1472">
        <v>72</v>
      </c>
      <c r="L1472">
        <v>95</v>
      </c>
      <c r="M1472">
        <v>2</v>
      </c>
      <c r="N1472" s="5">
        <v>6512.66</v>
      </c>
      <c r="O1472" t="s">
        <v>23</v>
      </c>
      <c r="P1472" t="str">
        <f t="shared" si="45"/>
        <v>Hospital Central de Maputo</v>
      </c>
      <c r="Q1472" t="s">
        <v>24</v>
      </c>
      <c r="R1472">
        <v>3</v>
      </c>
    </row>
    <row r="1473" spans="1:18" x14ac:dyDescent="0.45">
      <c r="A1473" t="s">
        <v>1558</v>
      </c>
      <c r="B1473" s="3">
        <v>45522</v>
      </c>
      <c r="C1473">
        <v>60</v>
      </c>
      <c r="D1473" t="s">
        <v>27</v>
      </c>
      <c r="E1473">
        <v>82.3</v>
      </c>
      <c r="F1473">
        <v>173.5</v>
      </c>
      <c r="G1473" s="4">
        <f t="shared" si="44"/>
        <v>27.340148992184968</v>
      </c>
      <c r="H1473" t="s">
        <v>41</v>
      </c>
      <c r="I1473" t="s">
        <v>161</v>
      </c>
      <c r="J1473">
        <v>110</v>
      </c>
      <c r="K1473">
        <v>74</v>
      </c>
      <c r="L1473">
        <v>87</v>
      </c>
      <c r="M1473">
        <v>2</v>
      </c>
      <c r="N1473" s="5">
        <v>7101.41</v>
      </c>
      <c r="O1473" t="s">
        <v>38</v>
      </c>
      <c r="P1473" t="str">
        <f t="shared" si="45"/>
        <v>Hospital Provincial de Xai-Xai</v>
      </c>
      <c r="Q1473" t="s">
        <v>24</v>
      </c>
      <c r="R1473">
        <v>4</v>
      </c>
    </row>
    <row r="1474" spans="1:18" x14ac:dyDescent="0.45">
      <c r="A1474" t="s">
        <v>1559</v>
      </c>
      <c r="B1474" s="3">
        <v>45563</v>
      </c>
      <c r="C1474">
        <v>9</v>
      </c>
      <c r="D1474" t="s">
        <v>20</v>
      </c>
      <c r="E1474">
        <v>20</v>
      </c>
      <c r="F1474">
        <v>132.4</v>
      </c>
      <c r="G1474" s="4">
        <f t="shared" ref="G1474:G1537" si="46">E1474/((F1474/100)^2)</f>
        <v>11.409169321200061</v>
      </c>
      <c r="H1474" t="s">
        <v>28</v>
      </c>
      <c r="I1474" t="s">
        <v>50</v>
      </c>
      <c r="J1474">
        <v>85</v>
      </c>
      <c r="K1474">
        <v>55</v>
      </c>
      <c r="L1474">
        <v>96</v>
      </c>
      <c r="M1474">
        <v>13</v>
      </c>
      <c r="N1474" s="5">
        <v>33214.639999999999</v>
      </c>
      <c r="O1474" t="s">
        <v>67</v>
      </c>
      <c r="P1474" t="str">
        <f t="shared" ref="P1474:P1537" si="47">INDEX($U$2:$U$12,MATCH(O1474,$T$2:$T$12,0))</f>
        <v>Hospital Provincial de Pemba</v>
      </c>
      <c r="Q1474" t="s">
        <v>24</v>
      </c>
      <c r="R1474">
        <v>2</v>
      </c>
    </row>
    <row r="1475" spans="1:18" x14ac:dyDescent="0.45">
      <c r="A1475" t="s">
        <v>1560</v>
      </c>
      <c r="B1475" s="3">
        <v>45266</v>
      </c>
      <c r="C1475">
        <v>9</v>
      </c>
      <c r="D1475" t="s">
        <v>27</v>
      </c>
      <c r="E1475">
        <v>30</v>
      </c>
      <c r="F1475">
        <v>65.7</v>
      </c>
      <c r="G1475" s="4">
        <f t="shared" si="46"/>
        <v>69.500913937018268</v>
      </c>
      <c r="H1475" t="s">
        <v>28</v>
      </c>
      <c r="I1475" t="s">
        <v>75</v>
      </c>
      <c r="J1475">
        <v>110</v>
      </c>
      <c r="K1475">
        <v>71</v>
      </c>
      <c r="L1475">
        <v>87</v>
      </c>
      <c r="M1475">
        <v>3</v>
      </c>
      <c r="N1475" s="5">
        <v>12447.81</v>
      </c>
      <c r="O1475" t="s">
        <v>51</v>
      </c>
      <c r="P1475" t="str">
        <f t="shared" si="47"/>
        <v>Hospital Central de Quelimane</v>
      </c>
      <c r="Q1475" t="s">
        <v>76</v>
      </c>
      <c r="R1475">
        <v>4</v>
      </c>
    </row>
    <row r="1476" spans="1:18" x14ac:dyDescent="0.45">
      <c r="A1476" t="s">
        <v>1561</v>
      </c>
      <c r="B1476" s="3">
        <v>45357</v>
      </c>
      <c r="C1476">
        <v>26</v>
      </c>
      <c r="D1476" t="s">
        <v>27</v>
      </c>
      <c r="E1476">
        <v>76.099999999999994</v>
      </c>
      <c r="F1476">
        <v>167.5</v>
      </c>
      <c r="G1476" s="4">
        <f t="shared" si="46"/>
        <v>27.124081087101803</v>
      </c>
      <c r="H1476" t="s">
        <v>91</v>
      </c>
      <c r="I1476" t="s">
        <v>116</v>
      </c>
      <c r="J1476">
        <v>120</v>
      </c>
      <c r="K1476">
        <v>70</v>
      </c>
      <c r="L1476">
        <v>110</v>
      </c>
      <c r="M1476">
        <v>1</v>
      </c>
      <c r="N1476" s="5">
        <v>3869.95</v>
      </c>
      <c r="O1476" t="s">
        <v>30</v>
      </c>
      <c r="P1476" t="str">
        <f t="shared" si="47"/>
        <v>Hospital Provincial de Inhambane</v>
      </c>
      <c r="Q1476" t="s">
        <v>24</v>
      </c>
      <c r="R1476">
        <v>4</v>
      </c>
    </row>
    <row r="1477" spans="1:18" x14ac:dyDescent="0.45">
      <c r="A1477" t="s">
        <v>1562</v>
      </c>
      <c r="B1477" s="3">
        <v>45002</v>
      </c>
      <c r="C1477">
        <v>7</v>
      </c>
      <c r="D1477" t="s">
        <v>20</v>
      </c>
      <c r="E1477">
        <v>19.5</v>
      </c>
      <c r="F1477">
        <v>134.69999999999999</v>
      </c>
      <c r="G1477" s="4">
        <f t="shared" si="46"/>
        <v>10.747301187328766</v>
      </c>
      <c r="H1477" t="s">
        <v>28</v>
      </c>
      <c r="I1477" t="s">
        <v>29</v>
      </c>
      <c r="J1477">
        <v>92</v>
      </c>
      <c r="K1477">
        <v>55</v>
      </c>
      <c r="L1477">
        <v>67</v>
      </c>
      <c r="M1477">
        <v>2</v>
      </c>
      <c r="N1477" s="5">
        <v>6737.66</v>
      </c>
      <c r="O1477" t="s">
        <v>57</v>
      </c>
      <c r="P1477" t="str">
        <f t="shared" si="47"/>
        <v>Hospital Provincial de Tete</v>
      </c>
      <c r="Q1477" t="s">
        <v>24</v>
      </c>
      <c r="R1477">
        <v>3</v>
      </c>
    </row>
    <row r="1478" spans="1:18" x14ac:dyDescent="0.45">
      <c r="A1478" t="s">
        <v>1563</v>
      </c>
      <c r="B1478" s="3">
        <v>45081</v>
      </c>
      <c r="C1478">
        <v>49</v>
      </c>
      <c r="D1478" t="s">
        <v>20</v>
      </c>
      <c r="E1478">
        <v>69.900000000000006</v>
      </c>
      <c r="F1478">
        <v>168.9</v>
      </c>
      <c r="G1478" s="4">
        <f t="shared" si="46"/>
        <v>24.50292194715151</v>
      </c>
      <c r="H1478" t="s">
        <v>46</v>
      </c>
      <c r="I1478" t="s">
        <v>94</v>
      </c>
      <c r="J1478">
        <v>122</v>
      </c>
      <c r="K1478">
        <v>78</v>
      </c>
      <c r="L1478">
        <v>71</v>
      </c>
      <c r="M1478">
        <v>1</v>
      </c>
      <c r="N1478" s="5">
        <v>3962.71</v>
      </c>
      <c r="O1478" t="s">
        <v>67</v>
      </c>
      <c r="P1478" t="str">
        <f t="shared" si="47"/>
        <v>Hospital Provincial de Pemba</v>
      </c>
      <c r="Q1478" t="s">
        <v>24</v>
      </c>
      <c r="R1478">
        <v>3</v>
      </c>
    </row>
    <row r="1479" spans="1:18" x14ac:dyDescent="0.45">
      <c r="A1479" t="s">
        <v>1564</v>
      </c>
      <c r="B1479" s="3">
        <v>45082</v>
      </c>
      <c r="C1479">
        <v>1</v>
      </c>
      <c r="D1479" t="s">
        <v>27</v>
      </c>
      <c r="E1479">
        <v>21.2</v>
      </c>
      <c r="F1479">
        <v>121.7</v>
      </c>
      <c r="G1479" s="4">
        <f t="shared" si="46"/>
        <v>14.313792081367154</v>
      </c>
      <c r="H1479" t="s">
        <v>28</v>
      </c>
      <c r="I1479" t="s">
        <v>29</v>
      </c>
      <c r="J1479">
        <v>110</v>
      </c>
      <c r="K1479">
        <v>59</v>
      </c>
      <c r="L1479">
        <v>86</v>
      </c>
      <c r="M1479">
        <v>3</v>
      </c>
      <c r="N1479" s="5">
        <v>10817.02</v>
      </c>
      <c r="O1479" t="s">
        <v>51</v>
      </c>
      <c r="P1479" t="str">
        <f t="shared" si="47"/>
        <v>Hospital Central de Quelimane</v>
      </c>
      <c r="Q1479" t="s">
        <v>24</v>
      </c>
      <c r="R1479">
        <v>3</v>
      </c>
    </row>
    <row r="1480" spans="1:18" x14ac:dyDescent="0.45">
      <c r="A1480" t="s">
        <v>1565</v>
      </c>
      <c r="B1480" s="3">
        <v>45374</v>
      </c>
      <c r="C1480">
        <v>66</v>
      </c>
      <c r="D1480" t="s">
        <v>27</v>
      </c>
      <c r="E1480">
        <v>69.599999999999994</v>
      </c>
      <c r="F1480">
        <v>158.5</v>
      </c>
      <c r="G1480" s="4">
        <f t="shared" si="46"/>
        <v>27.704524873369223</v>
      </c>
      <c r="H1480" t="s">
        <v>55</v>
      </c>
      <c r="I1480" t="s">
        <v>56</v>
      </c>
      <c r="J1480">
        <v>146</v>
      </c>
      <c r="K1480">
        <v>88</v>
      </c>
      <c r="L1480">
        <v>79</v>
      </c>
      <c r="M1480">
        <v>2</v>
      </c>
      <c r="N1480" s="5">
        <v>8931.7099999999991</v>
      </c>
      <c r="O1480" t="s">
        <v>52</v>
      </c>
      <c r="P1480" t="str">
        <f t="shared" si="47"/>
        <v>Hospital Provincial de Chimoio</v>
      </c>
      <c r="Q1480" t="s">
        <v>24</v>
      </c>
      <c r="R1480">
        <v>2</v>
      </c>
    </row>
    <row r="1481" spans="1:18" x14ac:dyDescent="0.45">
      <c r="A1481" t="s">
        <v>1566</v>
      </c>
      <c r="B1481" s="3">
        <v>45276</v>
      </c>
      <c r="C1481">
        <v>35</v>
      </c>
      <c r="D1481" t="s">
        <v>20</v>
      </c>
      <c r="E1481">
        <v>65.400000000000006</v>
      </c>
      <c r="F1481">
        <v>167</v>
      </c>
      <c r="G1481" s="4">
        <f t="shared" si="46"/>
        <v>23.450105776471013</v>
      </c>
      <c r="H1481" t="s">
        <v>34</v>
      </c>
      <c r="I1481" t="s">
        <v>138</v>
      </c>
      <c r="J1481">
        <v>110</v>
      </c>
      <c r="K1481">
        <v>80</v>
      </c>
      <c r="L1481">
        <v>102</v>
      </c>
      <c r="M1481">
        <v>1</v>
      </c>
      <c r="N1481" s="5">
        <v>3392.13</v>
      </c>
      <c r="O1481" t="s">
        <v>43</v>
      </c>
      <c r="P1481" t="str">
        <f t="shared" si="47"/>
        <v>Hospital Central da Beira</v>
      </c>
      <c r="Q1481" t="s">
        <v>37</v>
      </c>
      <c r="R1481">
        <v>5</v>
      </c>
    </row>
    <row r="1482" spans="1:18" x14ac:dyDescent="0.45">
      <c r="A1482" t="s">
        <v>1567</v>
      </c>
      <c r="B1482" s="3">
        <v>45304</v>
      </c>
      <c r="C1482">
        <v>13</v>
      </c>
      <c r="D1482" t="s">
        <v>27</v>
      </c>
      <c r="E1482">
        <v>72.900000000000006</v>
      </c>
      <c r="F1482">
        <v>166</v>
      </c>
      <c r="G1482" s="4">
        <f t="shared" si="46"/>
        <v>26.455218464218323</v>
      </c>
      <c r="H1482" t="s">
        <v>99</v>
      </c>
      <c r="I1482" t="s">
        <v>100</v>
      </c>
      <c r="J1482">
        <v>113</v>
      </c>
      <c r="K1482">
        <v>68</v>
      </c>
      <c r="L1482">
        <v>92</v>
      </c>
      <c r="M1482">
        <v>11</v>
      </c>
      <c r="N1482" s="5">
        <v>20961.400000000001</v>
      </c>
      <c r="O1482" t="s">
        <v>67</v>
      </c>
      <c r="P1482" t="str">
        <f t="shared" si="47"/>
        <v>Hospital Provincial de Pemba</v>
      </c>
      <c r="Q1482" t="s">
        <v>24</v>
      </c>
      <c r="R1482">
        <v>4</v>
      </c>
    </row>
    <row r="1483" spans="1:18" x14ac:dyDescent="0.45">
      <c r="A1483" t="s">
        <v>1568</v>
      </c>
      <c r="B1483" s="3">
        <v>45347</v>
      </c>
      <c r="C1483">
        <v>25</v>
      </c>
      <c r="D1483" t="s">
        <v>27</v>
      </c>
      <c r="E1483">
        <v>60.3</v>
      </c>
      <c r="F1483">
        <v>158.5</v>
      </c>
      <c r="G1483" s="4">
        <f t="shared" si="46"/>
        <v>24.00262715322075</v>
      </c>
      <c r="H1483" t="s">
        <v>41</v>
      </c>
      <c r="I1483" t="s">
        <v>42</v>
      </c>
      <c r="J1483">
        <v>106</v>
      </c>
      <c r="K1483">
        <v>76</v>
      </c>
      <c r="L1483">
        <v>84</v>
      </c>
      <c r="M1483">
        <v>1</v>
      </c>
      <c r="N1483" s="5">
        <v>4144.67</v>
      </c>
      <c r="O1483" t="s">
        <v>30</v>
      </c>
      <c r="P1483" t="str">
        <f t="shared" si="47"/>
        <v>Hospital Provincial de Inhambane</v>
      </c>
      <c r="Q1483" t="s">
        <v>202</v>
      </c>
      <c r="R1483">
        <v>4</v>
      </c>
    </row>
    <row r="1484" spans="1:18" x14ac:dyDescent="0.45">
      <c r="A1484" t="s">
        <v>1569</v>
      </c>
      <c r="B1484" s="3">
        <v>45508</v>
      </c>
      <c r="C1484">
        <v>53</v>
      </c>
      <c r="D1484" t="s">
        <v>27</v>
      </c>
      <c r="E1484">
        <v>58.8</v>
      </c>
      <c r="F1484">
        <v>166.2</v>
      </c>
      <c r="G1484" s="4">
        <f t="shared" si="46"/>
        <v>21.287040536607194</v>
      </c>
      <c r="H1484" t="s">
        <v>91</v>
      </c>
      <c r="I1484" t="s">
        <v>116</v>
      </c>
      <c r="J1484">
        <v>109</v>
      </c>
      <c r="K1484">
        <v>56</v>
      </c>
      <c r="L1484">
        <v>94</v>
      </c>
      <c r="M1484">
        <v>8</v>
      </c>
      <c r="N1484" s="5">
        <v>21437.599999999999</v>
      </c>
      <c r="O1484" t="s">
        <v>67</v>
      </c>
      <c r="P1484" t="str">
        <f t="shared" si="47"/>
        <v>Hospital Provincial de Pemba</v>
      </c>
      <c r="Q1484" t="s">
        <v>24</v>
      </c>
      <c r="R1484">
        <v>5</v>
      </c>
    </row>
    <row r="1485" spans="1:18" x14ac:dyDescent="0.45">
      <c r="A1485" t="s">
        <v>1570</v>
      </c>
      <c r="B1485" s="3">
        <v>45555</v>
      </c>
      <c r="C1485">
        <v>18</v>
      </c>
      <c r="D1485" t="s">
        <v>27</v>
      </c>
      <c r="E1485">
        <v>88.6</v>
      </c>
      <c r="F1485">
        <v>162.1</v>
      </c>
      <c r="G1485" s="4">
        <f t="shared" si="46"/>
        <v>33.718456973384107</v>
      </c>
      <c r="H1485" t="s">
        <v>55</v>
      </c>
      <c r="I1485" t="s">
        <v>197</v>
      </c>
      <c r="J1485">
        <v>110</v>
      </c>
      <c r="K1485">
        <v>66</v>
      </c>
      <c r="L1485">
        <v>74</v>
      </c>
      <c r="M1485">
        <v>8</v>
      </c>
      <c r="N1485" s="5">
        <v>24177.279999999999</v>
      </c>
      <c r="O1485" t="s">
        <v>31</v>
      </c>
      <c r="P1485" t="str">
        <f t="shared" si="47"/>
        <v>Hospital Provincial da Matola</v>
      </c>
      <c r="Q1485" t="s">
        <v>37</v>
      </c>
      <c r="R1485">
        <v>3</v>
      </c>
    </row>
    <row r="1486" spans="1:18" x14ac:dyDescent="0.45">
      <c r="A1486" t="s">
        <v>1571</v>
      </c>
      <c r="B1486" s="3">
        <v>45432</v>
      </c>
      <c r="C1486">
        <v>31</v>
      </c>
      <c r="D1486" t="s">
        <v>27</v>
      </c>
      <c r="E1486">
        <v>74.7</v>
      </c>
      <c r="F1486">
        <v>161.1</v>
      </c>
      <c r="G1486" s="4">
        <f t="shared" si="46"/>
        <v>28.782566780756603</v>
      </c>
      <c r="H1486" t="s">
        <v>55</v>
      </c>
      <c r="I1486" t="s">
        <v>80</v>
      </c>
      <c r="J1486">
        <v>96</v>
      </c>
      <c r="K1486">
        <v>59</v>
      </c>
      <c r="L1486">
        <v>95</v>
      </c>
      <c r="M1486">
        <v>1</v>
      </c>
      <c r="N1486" s="5">
        <v>6359.59</v>
      </c>
      <c r="O1486" t="s">
        <v>23</v>
      </c>
      <c r="P1486" t="str">
        <f t="shared" si="47"/>
        <v>Hospital Central de Maputo</v>
      </c>
      <c r="Q1486" t="s">
        <v>24</v>
      </c>
      <c r="R1486">
        <v>3</v>
      </c>
    </row>
    <row r="1487" spans="1:18" x14ac:dyDescent="0.45">
      <c r="A1487" t="s">
        <v>1572</v>
      </c>
      <c r="B1487" s="3">
        <v>45552</v>
      </c>
      <c r="C1487">
        <v>30</v>
      </c>
      <c r="D1487" t="s">
        <v>20</v>
      </c>
      <c r="E1487">
        <v>56.1</v>
      </c>
      <c r="F1487">
        <v>146.80000000000001</v>
      </c>
      <c r="G1487" s="4">
        <f t="shared" si="46"/>
        <v>26.032192680916772</v>
      </c>
      <c r="H1487" t="s">
        <v>21</v>
      </c>
      <c r="I1487" t="s">
        <v>89</v>
      </c>
      <c r="J1487">
        <v>164</v>
      </c>
      <c r="K1487">
        <v>96</v>
      </c>
      <c r="L1487">
        <v>90</v>
      </c>
      <c r="M1487">
        <v>4</v>
      </c>
      <c r="N1487" s="5">
        <v>14453.23</v>
      </c>
      <c r="O1487" t="s">
        <v>67</v>
      </c>
      <c r="P1487" t="str">
        <f t="shared" si="47"/>
        <v>Hospital Provincial de Pemba</v>
      </c>
      <c r="Q1487" t="s">
        <v>24</v>
      </c>
      <c r="R1487">
        <v>3</v>
      </c>
    </row>
    <row r="1488" spans="1:18" x14ac:dyDescent="0.45">
      <c r="A1488" t="s">
        <v>1573</v>
      </c>
      <c r="B1488" s="3">
        <v>44992</v>
      </c>
      <c r="C1488">
        <v>26</v>
      </c>
      <c r="D1488" t="s">
        <v>27</v>
      </c>
      <c r="E1488">
        <v>64.599999999999994</v>
      </c>
      <c r="F1488">
        <v>168.9</v>
      </c>
      <c r="G1488" s="4">
        <f t="shared" si="46"/>
        <v>22.645046606380362</v>
      </c>
      <c r="H1488" t="s">
        <v>41</v>
      </c>
      <c r="I1488" t="s">
        <v>161</v>
      </c>
      <c r="J1488">
        <v>98</v>
      </c>
      <c r="K1488">
        <v>55</v>
      </c>
      <c r="L1488">
        <v>106</v>
      </c>
      <c r="M1488">
        <v>6</v>
      </c>
      <c r="N1488" s="5">
        <v>11896.94</v>
      </c>
      <c r="O1488" t="s">
        <v>23</v>
      </c>
      <c r="P1488" t="str">
        <f t="shared" si="47"/>
        <v>Hospital Central de Maputo</v>
      </c>
      <c r="Q1488" t="s">
        <v>24</v>
      </c>
      <c r="R1488">
        <v>5</v>
      </c>
    </row>
    <row r="1489" spans="1:18" x14ac:dyDescent="0.45">
      <c r="A1489" t="s">
        <v>1574</v>
      </c>
      <c r="B1489" s="3">
        <v>45082</v>
      </c>
      <c r="C1489">
        <v>15</v>
      </c>
      <c r="D1489" t="s">
        <v>27</v>
      </c>
      <c r="E1489">
        <v>51.9</v>
      </c>
      <c r="F1489">
        <v>174.1</v>
      </c>
      <c r="G1489" s="4">
        <f t="shared" si="46"/>
        <v>17.122604113845856</v>
      </c>
      <c r="H1489" t="s">
        <v>99</v>
      </c>
      <c r="I1489" t="s">
        <v>105</v>
      </c>
      <c r="J1489">
        <v>91</v>
      </c>
      <c r="K1489">
        <v>55</v>
      </c>
      <c r="L1489">
        <v>85</v>
      </c>
      <c r="M1489">
        <v>1</v>
      </c>
      <c r="N1489" s="5">
        <v>5402.51</v>
      </c>
      <c r="O1489" t="s">
        <v>31</v>
      </c>
      <c r="P1489" t="str">
        <f t="shared" si="47"/>
        <v>Hospital Provincial da Matola</v>
      </c>
      <c r="Q1489" t="s">
        <v>24</v>
      </c>
      <c r="R1489">
        <v>4</v>
      </c>
    </row>
    <row r="1490" spans="1:18" x14ac:dyDescent="0.45">
      <c r="A1490" t="s">
        <v>1575</v>
      </c>
      <c r="B1490" s="3">
        <v>45389</v>
      </c>
      <c r="C1490">
        <v>54</v>
      </c>
      <c r="D1490" t="s">
        <v>27</v>
      </c>
      <c r="E1490">
        <v>57.1</v>
      </c>
      <c r="F1490">
        <v>175.8</v>
      </c>
      <c r="G1490" s="4">
        <f t="shared" si="46"/>
        <v>18.475592157289089</v>
      </c>
      <c r="H1490" t="s">
        <v>21</v>
      </c>
      <c r="I1490" t="s">
        <v>70</v>
      </c>
      <c r="J1490">
        <v>110</v>
      </c>
      <c r="K1490">
        <v>63</v>
      </c>
      <c r="L1490">
        <v>100</v>
      </c>
      <c r="M1490">
        <v>1</v>
      </c>
      <c r="N1490" s="5">
        <v>2560.33</v>
      </c>
      <c r="O1490" t="s">
        <v>51</v>
      </c>
      <c r="P1490" t="str">
        <f t="shared" si="47"/>
        <v>Hospital Central de Quelimane</v>
      </c>
      <c r="Q1490" t="s">
        <v>24</v>
      </c>
      <c r="R1490">
        <v>3</v>
      </c>
    </row>
    <row r="1491" spans="1:18" x14ac:dyDescent="0.45">
      <c r="A1491" t="s">
        <v>1576</v>
      </c>
      <c r="B1491" s="3">
        <v>45372</v>
      </c>
      <c r="C1491">
        <v>30</v>
      </c>
      <c r="D1491" t="s">
        <v>20</v>
      </c>
      <c r="E1491">
        <v>59.2</v>
      </c>
      <c r="F1491">
        <v>169.3</v>
      </c>
      <c r="G1491" s="4">
        <f t="shared" si="46"/>
        <v>20.654172055533206</v>
      </c>
      <c r="H1491" t="s">
        <v>21</v>
      </c>
      <c r="I1491" t="s">
        <v>123</v>
      </c>
      <c r="J1491">
        <v>111</v>
      </c>
      <c r="K1491">
        <v>66</v>
      </c>
      <c r="L1491">
        <v>95</v>
      </c>
      <c r="M1491">
        <v>3</v>
      </c>
      <c r="N1491" s="5">
        <v>8858.93</v>
      </c>
      <c r="O1491" t="s">
        <v>57</v>
      </c>
      <c r="P1491" t="str">
        <f t="shared" si="47"/>
        <v>Hospital Provincial de Tete</v>
      </c>
      <c r="Q1491" t="s">
        <v>24</v>
      </c>
      <c r="R1491">
        <v>2</v>
      </c>
    </row>
    <row r="1492" spans="1:18" x14ac:dyDescent="0.45">
      <c r="A1492" t="s">
        <v>1577</v>
      </c>
      <c r="B1492" s="3">
        <v>45595</v>
      </c>
      <c r="C1492">
        <v>30</v>
      </c>
      <c r="D1492" t="s">
        <v>20</v>
      </c>
      <c r="E1492">
        <v>69.599999999999994</v>
      </c>
      <c r="F1492">
        <v>161.9</v>
      </c>
      <c r="G1492" s="4">
        <f t="shared" si="46"/>
        <v>26.553119018633346</v>
      </c>
      <c r="H1492" t="s">
        <v>21</v>
      </c>
      <c r="I1492" t="s">
        <v>123</v>
      </c>
      <c r="J1492">
        <v>97</v>
      </c>
      <c r="K1492">
        <v>70</v>
      </c>
      <c r="L1492">
        <v>80</v>
      </c>
      <c r="M1492">
        <v>4</v>
      </c>
      <c r="N1492" s="5">
        <v>9327.4599999999991</v>
      </c>
      <c r="O1492" t="s">
        <v>67</v>
      </c>
      <c r="P1492" t="str">
        <f t="shared" si="47"/>
        <v>Hospital Provincial de Pemba</v>
      </c>
      <c r="Q1492" t="s">
        <v>24</v>
      </c>
      <c r="R1492">
        <v>4</v>
      </c>
    </row>
    <row r="1493" spans="1:18" x14ac:dyDescent="0.45">
      <c r="A1493" t="s">
        <v>1578</v>
      </c>
      <c r="B1493" s="3">
        <v>44963</v>
      </c>
      <c r="C1493">
        <v>2</v>
      </c>
      <c r="D1493" t="s">
        <v>27</v>
      </c>
      <c r="E1493">
        <v>22.4</v>
      </c>
      <c r="F1493">
        <v>55.3</v>
      </c>
      <c r="G1493" s="4">
        <f t="shared" si="46"/>
        <v>73.248334744889789</v>
      </c>
      <c r="H1493" t="s">
        <v>28</v>
      </c>
      <c r="I1493" t="s">
        <v>29</v>
      </c>
      <c r="J1493">
        <v>110</v>
      </c>
      <c r="K1493">
        <v>73</v>
      </c>
      <c r="L1493">
        <v>93</v>
      </c>
      <c r="M1493">
        <v>8</v>
      </c>
      <c r="N1493" s="5">
        <v>16184.74</v>
      </c>
      <c r="O1493" t="s">
        <v>63</v>
      </c>
      <c r="P1493" t="str">
        <f t="shared" si="47"/>
        <v>Hospital Central de Nampula</v>
      </c>
      <c r="Q1493" t="s">
        <v>24</v>
      </c>
      <c r="R1493">
        <v>4</v>
      </c>
    </row>
    <row r="1494" spans="1:18" x14ac:dyDescent="0.45">
      <c r="A1494" t="s">
        <v>1579</v>
      </c>
      <c r="B1494" s="3">
        <v>45032</v>
      </c>
      <c r="C1494">
        <v>40</v>
      </c>
      <c r="D1494" t="s">
        <v>27</v>
      </c>
      <c r="E1494">
        <v>61.7</v>
      </c>
      <c r="F1494">
        <v>170.6</v>
      </c>
      <c r="G1494" s="4">
        <f t="shared" si="46"/>
        <v>21.199572847504637</v>
      </c>
      <c r="H1494" t="s">
        <v>41</v>
      </c>
      <c r="I1494" t="s">
        <v>42</v>
      </c>
      <c r="J1494">
        <v>119</v>
      </c>
      <c r="K1494">
        <v>82</v>
      </c>
      <c r="L1494">
        <v>96</v>
      </c>
      <c r="M1494">
        <v>1</v>
      </c>
      <c r="N1494" s="5">
        <v>5314.96</v>
      </c>
      <c r="O1494" t="s">
        <v>30</v>
      </c>
      <c r="P1494" t="str">
        <f t="shared" si="47"/>
        <v>Hospital Provincial de Inhambane</v>
      </c>
      <c r="Q1494" t="s">
        <v>24</v>
      </c>
      <c r="R1494">
        <v>4</v>
      </c>
    </row>
    <row r="1495" spans="1:18" x14ac:dyDescent="0.45">
      <c r="A1495" t="s">
        <v>1580</v>
      </c>
      <c r="B1495" s="3">
        <v>45388</v>
      </c>
      <c r="C1495">
        <v>60</v>
      </c>
      <c r="D1495" t="s">
        <v>27</v>
      </c>
      <c r="E1495">
        <v>80.2</v>
      </c>
      <c r="F1495">
        <v>160.1</v>
      </c>
      <c r="G1495" s="4">
        <f t="shared" si="46"/>
        <v>31.2890015258265</v>
      </c>
      <c r="H1495" t="s">
        <v>21</v>
      </c>
      <c r="I1495" t="s">
        <v>70</v>
      </c>
      <c r="J1495">
        <v>110</v>
      </c>
      <c r="K1495">
        <v>64</v>
      </c>
      <c r="L1495">
        <v>86</v>
      </c>
      <c r="M1495">
        <v>3</v>
      </c>
      <c r="N1495" s="5">
        <v>10090.11</v>
      </c>
      <c r="O1495" t="s">
        <v>31</v>
      </c>
      <c r="P1495" t="str">
        <f t="shared" si="47"/>
        <v>Hospital Provincial da Matola</v>
      </c>
      <c r="Q1495" t="s">
        <v>24</v>
      </c>
      <c r="R1495">
        <v>4</v>
      </c>
    </row>
    <row r="1496" spans="1:18" x14ac:dyDescent="0.45">
      <c r="A1496" t="s">
        <v>1581</v>
      </c>
      <c r="B1496" s="3">
        <v>45036</v>
      </c>
      <c r="C1496">
        <v>18</v>
      </c>
      <c r="D1496" t="s">
        <v>27</v>
      </c>
      <c r="E1496">
        <v>75.8</v>
      </c>
      <c r="F1496">
        <v>179.2</v>
      </c>
      <c r="G1496" s="4">
        <f t="shared" si="46"/>
        <v>23.604412468112248</v>
      </c>
      <c r="H1496" t="s">
        <v>41</v>
      </c>
      <c r="I1496" t="s">
        <v>161</v>
      </c>
      <c r="J1496">
        <v>117</v>
      </c>
      <c r="K1496">
        <v>61</v>
      </c>
      <c r="L1496">
        <v>94</v>
      </c>
      <c r="M1496">
        <v>2</v>
      </c>
      <c r="N1496" s="5">
        <v>7273.76</v>
      </c>
      <c r="O1496" t="s">
        <v>31</v>
      </c>
      <c r="P1496" t="str">
        <f t="shared" si="47"/>
        <v>Hospital Provincial da Matola</v>
      </c>
      <c r="Q1496" t="s">
        <v>24</v>
      </c>
      <c r="R1496">
        <v>4</v>
      </c>
    </row>
    <row r="1497" spans="1:18" x14ac:dyDescent="0.45">
      <c r="A1497" t="s">
        <v>1582</v>
      </c>
      <c r="B1497" s="3">
        <v>45414</v>
      </c>
      <c r="C1497">
        <v>48</v>
      </c>
      <c r="D1497" t="s">
        <v>20</v>
      </c>
      <c r="E1497">
        <v>57.5</v>
      </c>
      <c r="F1497">
        <v>156.9</v>
      </c>
      <c r="G1497" s="4">
        <f t="shared" si="46"/>
        <v>23.357263357409597</v>
      </c>
      <c r="H1497" t="s">
        <v>46</v>
      </c>
      <c r="I1497" t="s">
        <v>94</v>
      </c>
      <c r="J1497">
        <v>125</v>
      </c>
      <c r="K1497">
        <v>76</v>
      </c>
      <c r="L1497">
        <v>85</v>
      </c>
      <c r="M1497">
        <v>1</v>
      </c>
      <c r="N1497" s="5">
        <v>4439.7700000000004</v>
      </c>
      <c r="O1497" t="s">
        <v>52</v>
      </c>
      <c r="P1497" t="str">
        <f t="shared" si="47"/>
        <v>Hospital Provincial de Chimoio</v>
      </c>
      <c r="Q1497" t="s">
        <v>24</v>
      </c>
      <c r="R1497">
        <v>5</v>
      </c>
    </row>
    <row r="1498" spans="1:18" x14ac:dyDescent="0.45">
      <c r="A1498" t="s">
        <v>1583</v>
      </c>
      <c r="B1498" s="3">
        <v>45180</v>
      </c>
      <c r="C1498">
        <v>12</v>
      </c>
      <c r="D1498" t="s">
        <v>20</v>
      </c>
      <c r="E1498">
        <v>59.5</v>
      </c>
      <c r="F1498">
        <v>160.80000000000001</v>
      </c>
      <c r="G1498" s="4">
        <f t="shared" si="46"/>
        <v>23.011497240167319</v>
      </c>
      <c r="H1498" t="s">
        <v>28</v>
      </c>
      <c r="I1498" t="s">
        <v>73</v>
      </c>
      <c r="J1498">
        <v>120</v>
      </c>
      <c r="K1498">
        <v>69</v>
      </c>
      <c r="L1498">
        <v>84</v>
      </c>
      <c r="M1498">
        <v>4</v>
      </c>
      <c r="N1498" s="5">
        <v>9992.5400000000009</v>
      </c>
      <c r="O1498" t="s">
        <v>43</v>
      </c>
      <c r="P1498" t="str">
        <f t="shared" si="47"/>
        <v>Hospital Central da Beira</v>
      </c>
      <c r="Q1498" t="s">
        <v>24</v>
      </c>
      <c r="R1498">
        <v>4</v>
      </c>
    </row>
    <row r="1499" spans="1:18" x14ac:dyDescent="0.45">
      <c r="A1499" t="s">
        <v>1584</v>
      </c>
      <c r="B1499" s="3">
        <v>45140</v>
      </c>
      <c r="C1499">
        <v>29</v>
      </c>
      <c r="D1499" t="s">
        <v>27</v>
      </c>
      <c r="E1499">
        <v>64.900000000000006</v>
      </c>
      <c r="F1499">
        <v>178.9</v>
      </c>
      <c r="G1499" s="4">
        <f t="shared" si="46"/>
        <v>20.277948496510408</v>
      </c>
      <c r="H1499" t="s">
        <v>99</v>
      </c>
      <c r="I1499" t="s">
        <v>103</v>
      </c>
      <c r="J1499">
        <v>107</v>
      </c>
      <c r="K1499">
        <v>69</v>
      </c>
      <c r="L1499">
        <v>94</v>
      </c>
      <c r="M1499">
        <v>5</v>
      </c>
      <c r="N1499" s="5">
        <v>11781.52</v>
      </c>
      <c r="O1499" t="s">
        <v>51</v>
      </c>
      <c r="P1499" t="str">
        <f t="shared" si="47"/>
        <v>Hospital Central de Quelimane</v>
      </c>
      <c r="Q1499" t="s">
        <v>24</v>
      </c>
      <c r="R1499">
        <v>2</v>
      </c>
    </row>
    <row r="1500" spans="1:18" x14ac:dyDescent="0.45">
      <c r="A1500" t="s">
        <v>1585</v>
      </c>
      <c r="B1500" s="3">
        <v>45306</v>
      </c>
      <c r="C1500">
        <v>4</v>
      </c>
      <c r="D1500" t="s">
        <v>20</v>
      </c>
      <c r="E1500">
        <v>33.9</v>
      </c>
      <c r="F1500">
        <v>91.6</v>
      </c>
      <c r="G1500" s="4">
        <f t="shared" si="46"/>
        <v>40.402547624949946</v>
      </c>
      <c r="H1500" t="s">
        <v>28</v>
      </c>
      <c r="I1500" t="s">
        <v>50</v>
      </c>
      <c r="J1500">
        <v>97</v>
      </c>
      <c r="K1500">
        <v>60</v>
      </c>
      <c r="L1500">
        <v>86</v>
      </c>
      <c r="M1500">
        <v>3</v>
      </c>
      <c r="N1500" s="5">
        <v>11863.74</v>
      </c>
      <c r="O1500" t="s">
        <v>23</v>
      </c>
      <c r="P1500" t="str">
        <f t="shared" si="47"/>
        <v>Hospital Central de Maputo</v>
      </c>
      <c r="Q1500" t="s">
        <v>37</v>
      </c>
      <c r="R1500">
        <v>5</v>
      </c>
    </row>
    <row r="1501" spans="1:18" x14ac:dyDescent="0.45">
      <c r="A1501" t="s">
        <v>1586</v>
      </c>
      <c r="B1501" s="3">
        <v>45055</v>
      </c>
      <c r="C1501">
        <v>39</v>
      </c>
      <c r="D1501" t="s">
        <v>20</v>
      </c>
      <c r="E1501">
        <v>84.3</v>
      </c>
      <c r="F1501">
        <v>156.6</v>
      </c>
      <c r="G1501" s="4">
        <f t="shared" si="46"/>
        <v>34.37510703992406</v>
      </c>
      <c r="H1501" t="s">
        <v>46</v>
      </c>
      <c r="I1501" t="s">
        <v>94</v>
      </c>
      <c r="J1501">
        <v>109</v>
      </c>
      <c r="K1501">
        <v>55</v>
      </c>
      <c r="L1501">
        <v>97</v>
      </c>
      <c r="M1501">
        <v>11</v>
      </c>
      <c r="N1501" s="5">
        <v>16157.97</v>
      </c>
      <c r="O1501" t="s">
        <v>52</v>
      </c>
      <c r="P1501" t="str">
        <f t="shared" si="47"/>
        <v>Hospital Provincial de Chimoio</v>
      </c>
      <c r="Q1501" t="s">
        <v>24</v>
      </c>
      <c r="R1501">
        <v>3</v>
      </c>
    </row>
  </sheetData>
  <autoFilter ref="A1:R150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Normal="100" workbookViewId="0">
      <selection activeCell="I12" sqref="I12"/>
    </sheetView>
  </sheetViews>
  <sheetFormatPr defaultColWidth="8.6640625" defaultRowHeight="14.25" x14ac:dyDescent="0.45"/>
  <cols>
    <col min="1" max="1" width="20" customWidth="1"/>
    <col min="2" max="2" width="16.796875" customWidth="1"/>
    <col min="3" max="3" width="21.1328125" customWidth="1"/>
    <col min="4" max="4" width="26.265625" customWidth="1"/>
  </cols>
  <sheetData>
    <row r="1" spans="1:4" ht="27.75" x14ac:dyDescent="0.45">
      <c r="A1" s="1" t="s">
        <v>7</v>
      </c>
      <c r="B1" s="1" t="s">
        <v>1587</v>
      </c>
      <c r="C1" s="1" t="s">
        <v>1588</v>
      </c>
      <c r="D1" s="1" t="s">
        <v>1589</v>
      </c>
    </row>
    <row r="2" spans="1:4" x14ac:dyDescent="0.45">
      <c r="C2" s="5"/>
      <c r="D2" s="4"/>
    </row>
    <row r="3" spans="1:4" x14ac:dyDescent="0.45">
      <c r="C3" s="5"/>
      <c r="D3" s="4"/>
    </row>
    <row r="4" spans="1:4" x14ac:dyDescent="0.45">
      <c r="C4" s="5"/>
      <c r="D4" s="4"/>
    </row>
    <row r="5" spans="1:4" x14ac:dyDescent="0.45">
      <c r="C5" s="5"/>
      <c r="D5" s="4"/>
    </row>
    <row r="6" spans="1:4" x14ac:dyDescent="0.45">
      <c r="C6" s="5"/>
      <c r="D6" s="4"/>
    </row>
    <row r="7" spans="1:4" x14ac:dyDescent="0.45">
      <c r="C7" s="5"/>
      <c r="D7" s="4"/>
    </row>
    <row r="8" spans="1:4" x14ac:dyDescent="0.45">
      <c r="C8" s="5"/>
      <c r="D8" s="4"/>
    </row>
    <row r="9" spans="1:4" x14ac:dyDescent="0.45">
      <c r="C9" s="5"/>
      <c r="D9" s="4"/>
    </row>
    <row r="11" spans="1:4" x14ac:dyDescent="0.45">
      <c r="A11" s="2"/>
      <c r="B11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zoomScaleNormal="100" workbookViewId="0">
      <selection activeCell="A2" sqref="A2"/>
    </sheetView>
  </sheetViews>
  <sheetFormatPr defaultColWidth="8.6640625" defaultRowHeight="14.25" x14ac:dyDescent="0.45"/>
  <cols>
    <col min="1" max="1" width="26" customWidth="1"/>
    <col min="2" max="3" width="14" customWidth="1"/>
  </cols>
  <sheetData>
    <row r="1" spans="1:3" ht="27.75" x14ac:dyDescent="0.45">
      <c r="A1" s="1" t="s">
        <v>1595</v>
      </c>
      <c r="B1" s="1" t="s">
        <v>1587</v>
      </c>
      <c r="C1" s="1" t="s">
        <v>1590</v>
      </c>
    </row>
    <row r="2" spans="1:3" x14ac:dyDescent="0.45">
      <c r="C2" s="6"/>
    </row>
    <row r="3" spans="1:3" x14ac:dyDescent="0.45">
      <c r="C3" s="6"/>
    </row>
    <row r="4" spans="1:3" x14ac:dyDescent="0.45">
      <c r="C4" s="6"/>
    </row>
    <row r="5" spans="1:3" x14ac:dyDescent="0.45">
      <c r="C5" s="6"/>
    </row>
    <row r="6" spans="1:3" x14ac:dyDescent="0.45">
      <c r="C6" s="6"/>
    </row>
    <row r="7" spans="1:3" x14ac:dyDescent="0.45">
      <c r="C7" s="6"/>
    </row>
    <row r="8" spans="1:3" x14ac:dyDescent="0.45">
      <c r="C8" s="6"/>
    </row>
    <row r="9" spans="1:3" x14ac:dyDescent="0.45">
      <c r="C9" s="6"/>
    </row>
    <row r="10" spans="1:3" x14ac:dyDescent="0.45">
      <c r="C10" s="6"/>
    </row>
    <row r="11" spans="1:3" x14ac:dyDescent="0.45">
      <c r="C11" s="6"/>
    </row>
    <row r="12" spans="1:3" x14ac:dyDescent="0.45">
      <c r="C12" s="6"/>
    </row>
    <row r="13" spans="1:3" x14ac:dyDescent="0.45">
      <c r="C13" s="6"/>
    </row>
    <row r="14" spans="1:3" x14ac:dyDescent="0.45">
      <c r="C14" s="6"/>
    </row>
    <row r="15" spans="1:3" x14ac:dyDescent="0.45">
      <c r="C15" s="6"/>
    </row>
    <row r="16" spans="1:3" x14ac:dyDescent="0.45">
      <c r="C16" s="6"/>
    </row>
    <row r="17" spans="3:3" x14ac:dyDescent="0.45">
      <c r="C17" s="6"/>
    </row>
    <row r="18" spans="3:3" x14ac:dyDescent="0.45">
      <c r="C18" s="6"/>
    </row>
    <row r="19" spans="3:3" x14ac:dyDescent="0.45">
      <c r="C19" s="6"/>
    </row>
    <row r="20" spans="3:3" x14ac:dyDescent="0.45">
      <c r="C20" s="6"/>
    </row>
    <row r="21" spans="3:3" x14ac:dyDescent="0.45">
      <c r="C21" s="6"/>
    </row>
    <row r="22" spans="3:3" x14ac:dyDescent="0.45">
      <c r="C22" s="6"/>
    </row>
    <row r="23" spans="3:3" x14ac:dyDescent="0.45">
      <c r="C23" s="6"/>
    </row>
    <row r="24" spans="3:3" x14ac:dyDescent="0.45">
      <c r="C24" s="6"/>
    </row>
    <row r="25" spans="3:3" x14ac:dyDescent="0.45">
      <c r="C25" s="6"/>
    </row>
    <row r="26" spans="3:3" x14ac:dyDescent="0.45">
      <c r="C26" s="6"/>
    </row>
    <row r="27" spans="3:3" x14ac:dyDescent="0.45">
      <c r="C27" s="6"/>
    </row>
    <row r="28" spans="3:3" x14ac:dyDescent="0.45">
      <c r="C28" s="6"/>
    </row>
    <row r="29" spans="3:3" x14ac:dyDescent="0.45">
      <c r="C29" s="6"/>
    </row>
    <row r="30" spans="3:3" x14ac:dyDescent="0.45">
      <c r="C30" s="6"/>
    </row>
    <row r="31" spans="3:3" x14ac:dyDescent="0.45">
      <c r="C31" s="6"/>
    </row>
    <row r="32" spans="3:3" x14ac:dyDescent="0.45">
      <c r="C32" s="6"/>
    </row>
    <row r="33" spans="3:3" x14ac:dyDescent="0.45">
      <c r="C33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zoomScaleNormal="100" workbookViewId="0">
      <selection activeCell="E3" sqref="E3"/>
    </sheetView>
  </sheetViews>
  <sheetFormatPr defaultColWidth="8.6640625" defaultRowHeight="14.25" x14ac:dyDescent="0.45"/>
  <cols>
    <col min="2" max="2" width="14" customWidth="1"/>
    <col min="3" max="3" width="18" customWidth="1"/>
    <col min="4" max="4" width="20" customWidth="1"/>
  </cols>
  <sheetData>
    <row r="1" spans="1:4" ht="27.75" x14ac:dyDescent="0.45">
      <c r="A1" s="1" t="s">
        <v>1596</v>
      </c>
      <c r="B1" s="1" t="s">
        <v>1591</v>
      </c>
      <c r="C1" s="1" t="s">
        <v>1592</v>
      </c>
      <c r="D1" s="1" t="s">
        <v>1593</v>
      </c>
    </row>
    <row r="2" spans="1:4" x14ac:dyDescent="0.45">
      <c r="B2" s="7"/>
      <c r="D2" s="5"/>
    </row>
    <row r="3" spans="1:4" x14ac:dyDescent="0.45">
      <c r="B3" s="7"/>
      <c r="D3" s="5"/>
    </row>
    <row r="4" spans="1:4" x14ac:dyDescent="0.45">
      <c r="B4" s="7"/>
      <c r="D4" s="5"/>
    </row>
    <row r="5" spans="1:4" x14ac:dyDescent="0.45">
      <c r="B5" s="7"/>
      <c r="D5" s="5"/>
    </row>
    <row r="6" spans="1:4" x14ac:dyDescent="0.45">
      <c r="B6" s="7"/>
      <c r="D6" s="5"/>
    </row>
    <row r="7" spans="1:4" x14ac:dyDescent="0.45">
      <c r="B7" s="7"/>
      <c r="D7" s="5"/>
    </row>
    <row r="8" spans="1:4" x14ac:dyDescent="0.45">
      <c r="B8" s="7"/>
      <c r="D8" s="5"/>
    </row>
    <row r="9" spans="1:4" x14ac:dyDescent="0.45">
      <c r="B9" s="7"/>
      <c r="D9" s="5"/>
    </row>
    <row r="10" spans="1:4" x14ac:dyDescent="0.45">
      <c r="B10" s="7"/>
      <c r="D10" s="5"/>
    </row>
    <row r="11" spans="1:4" x14ac:dyDescent="0.45">
      <c r="B11" s="7"/>
      <c r="D11" s="5"/>
    </row>
    <row r="12" spans="1:4" x14ac:dyDescent="0.45">
      <c r="B12" s="7"/>
      <c r="D12" s="5"/>
    </row>
    <row r="13" spans="1:4" x14ac:dyDescent="0.45">
      <c r="B13" s="7"/>
      <c r="D13" s="5"/>
    </row>
    <row r="14" spans="1:4" x14ac:dyDescent="0.45">
      <c r="B14" s="7"/>
      <c r="D14" s="5"/>
    </row>
    <row r="15" spans="1:4" x14ac:dyDescent="0.45">
      <c r="B15" s="7"/>
      <c r="D15" s="5"/>
    </row>
    <row r="16" spans="1:4" x14ac:dyDescent="0.45">
      <c r="B16" s="7"/>
      <c r="D16" s="5"/>
    </row>
    <row r="17" spans="2:4" x14ac:dyDescent="0.45">
      <c r="B17" s="7"/>
      <c r="D17" s="5"/>
    </row>
    <row r="18" spans="2:4" x14ac:dyDescent="0.45">
      <c r="B18" s="7"/>
      <c r="D18" s="5"/>
    </row>
    <row r="19" spans="2:4" x14ac:dyDescent="0.45">
      <c r="B19" s="7"/>
      <c r="D19" s="5"/>
    </row>
    <row r="20" spans="2:4" x14ac:dyDescent="0.45">
      <c r="B20" s="7"/>
      <c r="D20" s="5"/>
    </row>
    <row r="21" spans="2:4" x14ac:dyDescent="0.45">
      <c r="B21" s="7"/>
      <c r="D21" s="5"/>
    </row>
    <row r="22" spans="2:4" x14ac:dyDescent="0.45">
      <c r="B22" s="7"/>
      <c r="D22" s="5"/>
    </row>
    <row r="23" spans="2:4" x14ac:dyDescent="0.45">
      <c r="B23" s="7"/>
      <c r="D23" s="5"/>
    </row>
    <row r="24" spans="2:4" x14ac:dyDescent="0.45">
      <c r="B24" s="7"/>
      <c r="D24" s="5"/>
    </row>
    <row r="25" spans="2:4" x14ac:dyDescent="0.45">
      <c r="B25" s="7"/>
      <c r="D25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1"/>
  <sheetViews>
    <sheetView zoomScaleNormal="100" workbookViewId="0">
      <selection activeCell="N6" sqref="N6"/>
    </sheetView>
  </sheetViews>
  <sheetFormatPr defaultColWidth="8.6640625" defaultRowHeight="14.25" x14ac:dyDescent="0.45"/>
  <cols>
    <col min="1" max="1" width="14" customWidth="1"/>
    <col min="2" max="3" width="12" customWidth="1"/>
    <col min="4" max="4" width="10" customWidth="1"/>
  </cols>
  <sheetData>
    <row r="1" spans="1:4" x14ac:dyDescent="0.45">
      <c r="A1" s="1" t="s">
        <v>0</v>
      </c>
      <c r="B1" s="1" t="s">
        <v>4</v>
      </c>
      <c r="C1" s="1" t="s">
        <v>5</v>
      </c>
      <c r="D1" s="1" t="s">
        <v>6</v>
      </c>
    </row>
    <row r="2" spans="1:4" x14ac:dyDescent="0.45">
      <c r="A2" t="str">
        <f>Dados_Principais!A2</f>
        <v>P00001</v>
      </c>
      <c r="D2" s="4"/>
    </row>
    <row r="3" spans="1:4" x14ac:dyDescent="0.45">
      <c r="A3" t="str">
        <f>Dados_Principais!A27</f>
        <v>P00026</v>
      </c>
      <c r="D3" s="4"/>
    </row>
    <row r="4" spans="1:4" x14ac:dyDescent="0.45">
      <c r="A4" t="str">
        <f>Dados_Principais!A52</f>
        <v>P00051</v>
      </c>
      <c r="D4" s="4"/>
    </row>
    <row r="5" spans="1:4" x14ac:dyDescent="0.45">
      <c r="A5" t="str">
        <f>Dados_Principais!A77</f>
        <v>P00076</v>
      </c>
      <c r="D5" s="4"/>
    </row>
    <row r="6" spans="1:4" x14ac:dyDescent="0.45">
      <c r="A6" t="str">
        <f>Dados_Principais!A102</f>
        <v>P00101</v>
      </c>
      <c r="D6" s="4"/>
    </row>
    <row r="7" spans="1:4" x14ac:dyDescent="0.45">
      <c r="A7" t="str">
        <f>Dados_Principais!A127</f>
        <v>P00126</v>
      </c>
      <c r="D7" s="4"/>
    </row>
    <row r="8" spans="1:4" x14ac:dyDescent="0.45">
      <c r="A8" t="str">
        <f>Dados_Principais!A152</f>
        <v>P00151</v>
      </c>
      <c r="D8" s="4"/>
    </row>
    <row r="9" spans="1:4" x14ac:dyDescent="0.45">
      <c r="A9" t="str">
        <f>Dados_Principais!A177</f>
        <v>P00176</v>
      </c>
      <c r="D9" s="4"/>
    </row>
    <row r="10" spans="1:4" x14ac:dyDescent="0.45">
      <c r="A10" t="str">
        <f>Dados_Principais!A202</f>
        <v>P00201</v>
      </c>
      <c r="D10" s="4"/>
    </row>
    <row r="11" spans="1:4" x14ac:dyDescent="0.45">
      <c r="A11" t="str">
        <f>Dados_Principais!A227</f>
        <v>P00226</v>
      </c>
      <c r="D11" s="4"/>
    </row>
    <row r="12" spans="1:4" x14ac:dyDescent="0.45">
      <c r="A12" t="str">
        <f>Dados_Principais!A252</f>
        <v>P00251</v>
      </c>
      <c r="D12" s="4"/>
    </row>
    <row r="13" spans="1:4" x14ac:dyDescent="0.45">
      <c r="A13" t="str">
        <f>Dados_Principais!A277</f>
        <v>P00276</v>
      </c>
      <c r="D13" s="4"/>
    </row>
    <row r="14" spans="1:4" x14ac:dyDescent="0.45">
      <c r="A14" t="str">
        <f>Dados_Principais!A302</f>
        <v>P00301</v>
      </c>
      <c r="D14" s="4"/>
    </row>
    <row r="15" spans="1:4" x14ac:dyDescent="0.45">
      <c r="A15" t="str">
        <f>Dados_Principais!A327</f>
        <v>P00326</v>
      </c>
      <c r="D15" s="4"/>
    </row>
    <row r="16" spans="1:4" x14ac:dyDescent="0.45">
      <c r="A16" t="str">
        <f>Dados_Principais!A352</f>
        <v>P00351</v>
      </c>
      <c r="D16" s="4"/>
    </row>
    <row r="17" spans="1:4" x14ac:dyDescent="0.45">
      <c r="A17" t="str">
        <f>Dados_Principais!A377</f>
        <v>P00376</v>
      </c>
      <c r="D17" s="4"/>
    </row>
    <row r="18" spans="1:4" x14ac:dyDescent="0.45">
      <c r="A18" t="str">
        <f>Dados_Principais!A402</f>
        <v>P00401</v>
      </c>
      <c r="D18" s="4"/>
    </row>
    <row r="19" spans="1:4" x14ac:dyDescent="0.45">
      <c r="A19" t="str">
        <f>Dados_Principais!A427</f>
        <v>P00426</v>
      </c>
      <c r="D19" s="4"/>
    </row>
    <row r="20" spans="1:4" x14ac:dyDescent="0.45">
      <c r="A20" t="str">
        <f>Dados_Principais!A452</f>
        <v>P00451</v>
      </c>
      <c r="D20" s="4"/>
    </row>
    <row r="21" spans="1:4" x14ac:dyDescent="0.45">
      <c r="A21" t="str">
        <f>Dados_Principais!A477</f>
        <v>P00476</v>
      </c>
      <c r="D21" s="4"/>
    </row>
    <row r="22" spans="1:4" x14ac:dyDescent="0.45">
      <c r="A22" t="str">
        <f>Dados_Principais!A502</f>
        <v>P00501</v>
      </c>
      <c r="D22" s="4"/>
    </row>
    <row r="23" spans="1:4" x14ac:dyDescent="0.45">
      <c r="A23" t="str">
        <f>Dados_Principais!A527</f>
        <v>P00526</v>
      </c>
      <c r="D23" s="4"/>
    </row>
    <row r="24" spans="1:4" x14ac:dyDescent="0.45">
      <c r="A24" t="str">
        <f>Dados_Principais!A552</f>
        <v>P00551</v>
      </c>
      <c r="D24" s="4"/>
    </row>
    <row r="25" spans="1:4" x14ac:dyDescent="0.45">
      <c r="A25" t="str">
        <f>Dados_Principais!A577</f>
        <v>P00576</v>
      </c>
      <c r="D25" s="4"/>
    </row>
    <row r="26" spans="1:4" x14ac:dyDescent="0.45">
      <c r="A26" t="str">
        <f>Dados_Principais!A602</f>
        <v>P00601</v>
      </c>
      <c r="D26" s="4"/>
    </row>
    <row r="27" spans="1:4" x14ac:dyDescent="0.45">
      <c r="A27" t="str">
        <f>Dados_Principais!A627</f>
        <v>P00626</v>
      </c>
      <c r="D27" s="4"/>
    </row>
    <row r="28" spans="1:4" x14ac:dyDescent="0.45">
      <c r="A28" t="str">
        <f>Dados_Principais!A652</f>
        <v>P00651</v>
      </c>
      <c r="D28" s="4"/>
    </row>
    <row r="29" spans="1:4" x14ac:dyDescent="0.45">
      <c r="A29" t="str">
        <f>Dados_Principais!A677</f>
        <v>P00676</v>
      </c>
      <c r="D29" s="4"/>
    </row>
    <row r="30" spans="1:4" x14ac:dyDescent="0.45">
      <c r="A30" t="str">
        <f>Dados_Principais!A702</f>
        <v>P00701</v>
      </c>
      <c r="D30" s="4"/>
    </row>
    <row r="31" spans="1:4" x14ac:dyDescent="0.45">
      <c r="A31" t="str">
        <f>Dados_Principais!A727</f>
        <v>P00726</v>
      </c>
      <c r="D31" s="4"/>
    </row>
    <row r="32" spans="1:4" x14ac:dyDescent="0.45">
      <c r="A32" t="str">
        <f>Dados_Principais!A752</f>
        <v>P00751</v>
      </c>
      <c r="D32" s="4"/>
    </row>
    <row r="33" spans="1:4" x14ac:dyDescent="0.45">
      <c r="A33" t="str">
        <f>Dados_Principais!A777</f>
        <v>P00776</v>
      </c>
      <c r="D33" s="4"/>
    </row>
    <row r="34" spans="1:4" x14ac:dyDescent="0.45">
      <c r="A34" t="str">
        <f>Dados_Principais!A802</f>
        <v>P00801</v>
      </c>
      <c r="D34" s="4"/>
    </row>
    <row r="35" spans="1:4" x14ac:dyDescent="0.45">
      <c r="A35" t="str">
        <f>Dados_Principais!A827</f>
        <v>P00826</v>
      </c>
      <c r="D35" s="4"/>
    </row>
    <row r="36" spans="1:4" x14ac:dyDescent="0.45">
      <c r="A36" t="str">
        <f>Dados_Principais!A852</f>
        <v>P00851</v>
      </c>
      <c r="D36" s="4"/>
    </row>
    <row r="37" spans="1:4" x14ac:dyDescent="0.45">
      <c r="A37" t="str">
        <f>Dados_Principais!A877</f>
        <v>P00876</v>
      </c>
      <c r="D37" s="4"/>
    </row>
    <row r="38" spans="1:4" x14ac:dyDescent="0.45">
      <c r="A38" t="str">
        <f>Dados_Principais!A902</f>
        <v>P00901</v>
      </c>
      <c r="D38" s="4"/>
    </row>
    <row r="39" spans="1:4" x14ac:dyDescent="0.45">
      <c r="A39" t="str">
        <f>Dados_Principais!A927</f>
        <v>P00926</v>
      </c>
      <c r="D39" s="4"/>
    </row>
    <row r="40" spans="1:4" x14ac:dyDescent="0.45">
      <c r="A40" t="str">
        <f>Dados_Principais!A952</f>
        <v>P00951</v>
      </c>
      <c r="D40" s="4"/>
    </row>
    <row r="41" spans="1:4" x14ac:dyDescent="0.45">
      <c r="A41" t="str">
        <f>Dados_Principais!A977</f>
        <v>P00976</v>
      </c>
      <c r="D41" s="4"/>
    </row>
    <row r="42" spans="1:4" x14ac:dyDescent="0.45">
      <c r="A42" t="str">
        <f>Dados_Principais!A1002</f>
        <v>P01001</v>
      </c>
      <c r="D42" s="4"/>
    </row>
    <row r="43" spans="1:4" x14ac:dyDescent="0.45">
      <c r="A43" t="str">
        <f>Dados_Principais!A1027</f>
        <v>P01026</v>
      </c>
      <c r="D43" s="4"/>
    </row>
    <row r="44" spans="1:4" x14ac:dyDescent="0.45">
      <c r="A44" t="str">
        <f>Dados_Principais!A1052</f>
        <v>P01051</v>
      </c>
      <c r="D44" s="4"/>
    </row>
    <row r="45" spans="1:4" x14ac:dyDescent="0.45">
      <c r="A45" t="str">
        <f>Dados_Principais!A1077</f>
        <v>P01076</v>
      </c>
      <c r="D45" s="4"/>
    </row>
    <row r="46" spans="1:4" x14ac:dyDescent="0.45">
      <c r="A46" t="str">
        <f>Dados_Principais!A1102</f>
        <v>P01101</v>
      </c>
      <c r="D46" s="4"/>
    </row>
    <row r="47" spans="1:4" x14ac:dyDescent="0.45">
      <c r="A47" t="str">
        <f>Dados_Principais!A1127</f>
        <v>P01126</v>
      </c>
      <c r="D47" s="4"/>
    </row>
    <row r="48" spans="1:4" x14ac:dyDescent="0.45">
      <c r="A48" t="str">
        <f>Dados_Principais!A1152</f>
        <v>P01151</v>
      </c>
      <c r="D48" s="4"/>
    </row>
    <row r="49" spans="1:4" x14ac:dyDescent="0.45">
      <c r="A49" t="str">
        <f>Dados_Principais!A1177</f>
        <v>P01176</v>
      </c>
      <c r="D49" s="4"/>
    </row>
    <row r="50" spans="1:4" x14ac:dyDescent="0.45">
      <c r="A50" t="str">
        <f>Dados_Principais!A1202</f>
        <v>P01201</v>
      </c>
      <c r="D50" s="4"/>
    </row>
    <row r="51" spans="1:4" x14ac:dyDescent="0.45">
      <c r="A51" t="str">
        <f>Dados_Principais!A1227</f>
        <v>P01226</v>
      </c>
      <c r="D51" s="4"/>
    </row>
    <row r="52" spans="1:4" x14ac:dyDescent="0.45">
      <c r="A52" t="str">
        <f>Dados_Principais!A1252</f>
        <v>P01251</v>
      </c>
      <c r="D52" s="4"/>
    </row>
    <row r="53" spans="1:4" x14ac:dyDescent="0.45">
      <c r="A53" t="str">
        <f>Dados_Principais!A1277</f>
        <v>P01276</v>
      </c>
      <c r="D53" s="4"/>
    </row>
    <row r="54" spans="1:4" x14ac:dyDescent="0.45">
      <c r="A54" t="str">
        <f>Dados_Principais!A1302</f>
        <v>P01301</v>
      </c>
      <c r="D54" s="4"/>
    </row>
    <row r="55" spans="1:4" x14ac:dyDescent="0.45">
      <c r="A55" t="str">
        <f>Dados_Principais!A1327</f>
        <v>P01326</v>
      </c>
      <c r="D55" s="4"/>
    </row>
    <row r="56" spans="1:4" x14ac:dyDescent="0.45">
      <c r="A56" t="str">
        <f>Dados_Principais!A1352</f>
        <v>P01351</v>
      </c>
      <c r="D56" s="4"/>
    </row>
    <row r="57" spans="1:4" x14ac:dyDescent="0.45">
      <c r="A57" t="str">
        <f>Dados_Principais!A1377</f>
        <v>P01376</v>
      </c>
      <c r="D57" s="4"/>
    </row>
    <row r="58" spans="1:4" x14ac:dyDescent="0.45">
      <c r="A58" t="str">
        <f>Dados_Principais!A1402</f>
        <v>P01401</v>
      </c>
      <c r="D58" s="4"/>
    </row>
    <row r="59" spans="1:4" x14ac:dyDescent="0.45">
      <c r="A59" t="str">
        <f>Dados_Principais!A1427</f>
        <v>P01426</v>
      </c>
      <c r="D59" s="4"/>
    </row>
    <row r="60" spans="1:4" x14ac:dyDescent="0.45">
      <c r="A60" t="str">
        <f>Dados_Principais!A1452</f>
        <v>P01451</v>
      </c>
      <c r="D60" s="4"/>
    </row>
    <row r="61" spans="1:4" x14ac:dyDescent="0.45">
      <c r="A61" t="str">
        <f>Dados_Principais!A1477</f>
        <v>P01476</v>
      </c>
      <c r="D61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501"/>
  <sheetViews>
    <sheetView topLeftCell="A1475" zoomScaleNormal="100" workbookViewId="0">
      <selection sqref="A1:A1501"/>
    </sheetView>
  </sheetViews>
  <sheetFormatPr defaultColWidth="8.6640625" defaultRowHeight="14.25" x14ac:dyDescent="0.45"/>
  <cols>
    <col min="2" max="2" width="14" customWidth="1"/>
    <col min="3" max="3" width="16" customWidth="1"/>
  </cols>
  <sheetData>
    <row r="1" spans="1:3" ht="27.75" x14ac:dyDescent="0.45">
      <c r="A1" s="1" t="s">
        <v>0</v>
      </c>
      <c r="B1" s="1" t="s">
        <v>1594</v>
      </c>
      <c r="C1" s="1" t="s">
        <v>11</v>
      </c>
    </row>
    <row r="2" spans="1:3" x14ac:dyDescent="0.45">
      <c r="A2" t="s">
        <v>19</v>
      </c>
    </row>
    <row r="3" spans="1:3" x14ac:dyDescent="0.45">
      <c r="A3" t="s">
        <v>26</v>
      </c>
    </row>
    <row r="4" spans="1:3" x14ac:dyDescent="0.45">
      <c r="A4" t="s">
        <v>33</v>
      </c>
    </row>
    <row r="5" spans="1:3" x14ac:dyDescent="0.45">
      <c r="A5" t="s">
        <v>40</v>
      </c>
    </row>
    <row r="6" spans="1:3" x14ac:dyDescent="0.45">
      <c r="A6" t="s">
        <v>45</v>
      </c>
    </row>
    <row r="7" spans="1:3" x14ac:dyDescent="0.45">
      <c r="A7" t="s">
        <v>49</v>
      </c>
    </row>
    <row r="8" spans="1:3" x14ac:dyDescent="0.45">
      <c r="A8" t="s">
        <v>54</v>
      </c>
    </row>
    <row r="9" spans="1:3" x14ac:dyDescent="0.45">
      <c r="A9" t="s">
        <v>59</v>
      </c>
    </row>
    <row r="10" spans="1:3" x14ac:dyDescent="0.45">
      <c r="A10" t="s">
        <v>61</v>
      </c>
    </row>
    <row r="11" spans="1:3" x14ac:dyDescent="0.45">
      <c r="A11" t="s">
        <v>65</v>
      </c>
    </row>
    <row r="12" spans="1:3" x14ac:dyDescent="0.45">
      <c r="A12" t="s">
        <v>69</v>
      </c>
    </row>
    <row r="13" spans="1:3" x14ac:dyDescent="0.45">
      <c r="A13" t="s">
        <v>72</v>
      </c>
    </row>
    <row r="14" spans="1:3" x14ac:dyDescent="0.45">
      <c r="A14" t="s">
        <v>74</v>
      </c>
    </row>
    <row r="15" spans="1:3" x14ac:dyDescent="0.45">
      <c r="A15" t="s">
        <v>77</v>
      </c>
    </row>
    <row r="16" spans="1:3" x14ac:dyDescent="0.45">
      <c r="A16" t="s">
        <v>78</v>
      </c>
    </row>
    <row r="17" spans="1:1" x14ac:dyDescent="0.45">
      <c r="A17" t="s">
        <v>79</v>
      </c>
    </row>
    <row r="18" spans="1:1" x14ac:dyDescent="0.45">
      <c r="A18" t="s">
        <v>81</v>
      </c>
    </row>
    <row r="19" spans="1:1" x14ac:dyDescent="0.45">
      <c r="A19" t="s">
        <v>82</v>
      </c>
    </row>
    <row r="20" spans="1:1" x14ac:dyDescent="0.45">
      <c r="A20" t="s">
        <v>83</v>
      </c>
    </row>
    <row r="21" spans="1:1" x14ac:dyDescent="0.45">
      <c r="A21" t="s">
        <v>84</v>
      </c>
    </row>
    <row r="22" spans="1:1" x14ac:dyDescent="0.45">
      <c r="A22" t="s">
        <v>85</v>
      </c>
    </row>
    <row r="23" spans="1:1" x14ac:dyDescent="0.45">
      <c r="A23" t="s">
        <v>86</v>
      </c>
    </row>
    <row r="24" spans="1:1" x14ac:dyDescent="0.45">
      <c r="A24" t="s">
        <v>87</v>
      </c>
    </row>
    <row r="25" spans="1:1" x14ac:dyDescent="0.45">
      <c r="A25" t="s">
        <v>88</v>
      </c>
    </row>
    <row r="26" spans="1:1" x14ac:dyDescent="0.45">
      <c r="A26" t="s">
        <v>90</v>
      </c>
    </row>
    <row r="27" spans="1:1" x14ac:dyDescent="0.45">
      <c r="A27" t="s">
        <v>93</v>
      </c>
    </row>
    <row r="28" spans="1:1" x14ac:dyDescent="0.45">
      <c r="A28" t="s">
        <v>95</v>
      </c>
    </row>
    <row r="29" spans="1:1" x14ac:dyDescent="0.45">
      <c r="A29" t="s">
        <v>96</v>
      </c>
    </row>
    <row r="30" spans="1:1" x14ac:dyDescent="0.45">
      <c r="A30" t="s">
        <v>97</v>
      </c>
    </row>
    <row r="31" spans="1:1" x14ac:dyDescent="0.45">
      <c r="A31" t="s">
        <v>98</v>
      </c>
    </row>
    <row r="32" spans="1:1" x14ac:dyDescent="0.45">
      <c r="A32" t="s">
        <v>101</v>
      </c>
    </row>
    <row r="33" spans="1:1" x14ac:dyDescent="0.45">
      <c r="A33" t="s">
        <v>102</v>
      </c>
    </row>
    <row r="34" spans="1:1" x14ac:dyDescent="0.45">
      <c r="A34" t="s">
        <v>104</v>
      </c>
    </row>
    <row r="35" spans="1:1" x14ac:dyDescent="0.45">
      <c r="A35" t="s">
        <v>106</v>
      </c>
    </row>
    <row r="36" spans="1:1" x14ac:dyDescent="0.45">
      <c r="A36" t="s">
        <v>107</v>
      </c>
    </row>
    <row r="37" spans="1:1" x14ac:dyDescent="0.45">
      <c r="A37" t="s">
        <v>109</v>
      </c>
    </row>
    <row r="38" spans="1:1" x14ac:dyDescent="0.45">
      <c r="A38" t="s">
        <v>111</v>
      </c>
    </row>
    <row r="39" spans="1:1" x14ac:dyDescent="0.45">
      <c r="A39" t="s">
        <v>112</v>
      </c>
    </row>
    <row r="40" spans="1:1" x14ac:dyDescent="0.45">
      <c r="A40" t="s">
        <v>114</v>
      </c>
    </row>
    <row r="41" spans="1:1" x14ac:dyDescent="0.45">
      <c r="A41" t="s">
        <v>115</v>
      </c>
    </row>
    <row r="42" spans="1:1" x14ac:dyDescent="0.45">
      <c r="A42" t="s">
        <v>117</v>
      </c>
    </row>
    <row r="43" spans="1:1" x14ac:dyDescent="0.45">
      <c r="A43" t="s">
        <v>118</v>
      </c>
    </row>
    <row r="44" spans="1:1" x14ac:dyDescent="0.45">
      <c r="A44" t="s">
        <v>119</v>
      </c>
    </row>
    <row r="45" spans="1:1" x14ac:dyDescent="0.45">
      <c r="A45" t="s">
        <v>120</v>
      </c>
    </row>
    <row r="46" spans="1:1" x14ac:dyDescent="0.45">
      <c r="A46" t="s">
        <v>121</v>
      </c>
    </row>
    <row r="47" spans="1:1" x14ac:dyDescent="0.45">
      <c r="A47" t="s">
        <v>122</v>
      </c>
    </row>
    <row r="48" spans="1:1" x14ac:dyDescent="0.45">
      <c r="A48" t="s">
        <v>124</v>
      </c>
    </row>
    <row r="49" spans="1:1" x14ac:dyDescent="0.45">
      <c r="A49" t="s">
        <v>125</v>
      </c>
    </row>
    <row r="50" spans="1:1" x14ac:dyDescent="0.45">
      <c r="A50" t="s">
        <v>127</v>
      </c>
    </row>
    <row r="51" spans="1:1" x14ac:dyDescent="0.45">
      <c r="A51" t="s">
        <v>129</v>
      </c>
    </row>
    <row r="52" spans="1:1" x14ac:dyDescent="0.45">
      <c r="A52" t="s">
        <v>130</v>
      </c>
    </row>
    <row r="53" spans="1:1" x14ac:dyDescent="0.45">
      <c r="A53" t="s">
        <v>132</v>
      </c>
    </row>
    <row r="54" spans="1:1" x14ac:dyDescent="0.45">
      <c r="A54" t="s">
        <v>133</v>
      </c>
    </row>
    <row r="55" spans="1:1" x14ac:dyDescent="0.45">
      <c r="A55" t="s">
        <v>134</v>
      </c>
    </row>
    <row r="56" spans="1:1" x14ac:dyDescent="0.45">
      <c r="A56" t="s">
        <v>135</v>
      </c>
    </row>
    <row r="57" spans="1:1" x14ac:dyDescent="0.45">
      <c r="A57" t="s">
        <v>136</v>
      </c>
    </row>
    <row r="58" spans="1:1" x14ac:dyDescent="0.45">
      <c r="A58" t="s">
        <v>137</v>
      </c>
    </row>
    <row r="59" spans="1:1" x14ac:dyDescent="0.45">
      <c r="A59" t="s">
        <v>139</v>
      </c>
    </row>
    <row r="60" spans="1:1" x14ac:dyDescent="0.45">
      <c r="A60" t="s">
        <v>140</v>
      </c>
    </row>
    <row r="61" spans="1:1" x14ac:dyDescent="0.45">
      <c r="A61" t="s">
        <v>141</v>
      </c>
    </row>
    <row r="62" spans="1:1" x14ac:dyDescent="0.45">
      <c r="A62" t="s">
        <v>142</v>
      </c>
    </row>
    <row r="63" spans="1:1" x14ac:dyDescent="0.45">
      <c r="A63" t="s">
        <v>143</v>
      </c>
    </row>
    <row r="64" spans="1:1" x14ac:dyDescent="0.45">
      <c r="A64" t="s">
        <v>144</v>
      </c>
    </row>
    <row r="65" spans="1:1" x14ac:dyDescent="0.45">
      <c r="A65" t="s">
        <v>145</v>
      </c>
    </row>
    <row r="66" spans="1:1" x14ac:dyDescent="0.45">
      <c r="A66" t="s">
        <v>146</v>
      </c>
    </row>
    <row r="67" spans="1:1" x14ac:dyDescent="0.45">
      <c r="A67" t="s">
        <v>147</v>
      </c>
    </row>
    <row r="68" spans="1:1" x14ac:dyDescent="0.45">
      <c r="A68" t="s">
        <v>148</v>
      </c>
    </row>
    <row r="69" spans="1:1" x14ac:dyDescent="0.45">
      <c r="A69" t="s">
        <v>149</v>
      </c>
    </row>
    <row r="70" spans="1:1" x14ac:dyDescent="0.45">
      <c r="A70" t="s">
        <v>150</v>
      </c>
    </row>
    <row r="71" spans="1:1" x14ac:dyDescent="0.45">
      <c r="A71" t="s">
        <v>152</v>
      </c>
    </row>
    <row r="72" spans="1:1" x14ac:dyDescent="0.45">
      <c r="A72" t="s">
        <v>153</v>
      </c>
    </row>
    <row r="73" spans="1:1" x14ac:dyDescent="0.45">
      <c r="A73" t="s">
        <v>154</v>
      </c>
    </row>
    <row r="74" spans="1:1" x14ac:dyDescent="0.45">
      <c r="A74" t="s">
        <v>155</v>
      </c>
    </row>
    <row r="75" spans="1:1" x14ac:dyDescent="0.45">
      <c r="A75" t="s">
        <v>156</v>
      </c>
    </row>
    <row r="76" spans="1:1" x14ac:dyDescent="0.45">
      <c r="A76" t="s">
        <v>157</v>
      </c>
    </row>
    <row r="77" spans="1:1" x14ac:dyDescent="0.45">
      <c r="A77" t="s">
        <v>158</v>
      </c>
    </row>
    <row r="78" spans="1:1" x14ac:dyDescent="0.45">
      <c r="A78" t="s">
        <v>159</v>
      </c>
    </row>
    <row r="79" spans="1:1" x14ac:dyDescent="0.45">
      <c r="A79" t="s">
        <v>160</v>
      </c>
    </row>
    <row r="80" spans="1:1" x14ac:dyDescent="0.45">
      <c r="A80" t="s">
        <v>162</v>
      </c>
    </row>
    <row r="81" spans="1:1" x14ac:dyDescent="0.45">
      <c r="A81" t="s">
        <v>163</v>
      </c>
    </row>
    <row r="82" spans="1:1" x14ac:dyDescent="0.45">
      <c r="A82" t="s">
        <v>164</v>
      </c>
    </row>
    <row r="83" spans="1:1" x14ac:dyDescent="0.45">
      <c r="A83" t="s">
        <v>165</v>
      </c>
    </row>
    <row r="84" spans="1:1" x14ac:dyDescent="0.45">
      <c r="A84" t="s">
        <v>166</v>
      </c>
    </row>
    <row r="85" spans="1:1" x14ac:dyDescent="0.45">
      <c r="A85" t="s">
        <v>167</v>
      </c>
    </row>
    <row r="86" spans="1:1" x14ac:dyDescent="0.45">
      <c r="A86" t="s">
        <v>168</v>
      </c>
    </row>
    <row r="87" spans="1:1" x14ac:dyDescent="0.45">
      <c r="A87" t="s">
        <v>169</v>
      </c>
    </row>
    <row r="88" spans="1:1" x14ac:dyDescent="0.45">
      <c r="A88" t="s">
        <v>170</v>
      </c>
    </row>
    <row r="89" spans="1:1" x14ac:dyDescent="0.45">
      <c r="A89" t="s">
        <v>171</v>
      </c>
    </row>
    <row r="90" spans="1:1" x14ac:dyDescent="0.45">
      <c r="A90" t="s">
        <v>172</v>
      </c>
    </row>
    <row r="91" spans="1:1" x14ac:dyDescent="0.45">
      <c r="A91" t="s">
        <v>173</v>
      </c>
    </row>
    <row r="92" spans="1:1" x14ac:dyDescent="0.45">
      <c r="A92" t="s">
        <v>174</v>
      </c>
    </row>
    <row r="93" spans="1:1" x14ac:dyDescent="0.45">
      <c r="A93" t="s">
        <v>175</v>
      </c>
    </row>
    <row r="94" spans="1:1" x14ac:dyDescent="0.45">
      <c r="A94" t="s">
        <v>176</v>
      </c>
    </row>
    <row r="95" spans="1:1" x14ac:dyDescent="0.45">
      <c r="A95" t="s">
        <v>177</v>
      </c>
    </row>
    <row r="96" spans="1:1" x14ac:dyDescent="0.45">
      <c r="A96" t="s">
        <v>178</v>
      </c>
    </row>
    <row r="97" spans="1:1" x14ac:dyDescent="0.45">
      <c r="A97" t="s">
        <v>179</v>
      </c>
    </row>
    <row r="98" spans="1:1" x14ac:dyDescent="0.45">
      <c r="A98" t="s">
        <v>180</v>
      </c>
    </row>
    <row r="99" spans="1:1" x14ac:dyDescent="0.45">
      <c r="A99" t="s">
        <v>181</v>
      </c>
    </row>
    <row r="100" spans="1:1" x14ac:dyDescent="0.45">
      <c r="A100" t="s">
        <v>182</v>
      </c>
    </row>
    <row r="101" spans="1:1" x14ac:dyDescent="0.45">
      <c r="A101" t="s">
        <v>183</v>
      </c>
    </row>
    <row r="102" spans="1:1" x14ac:dyDescent="0.45">
      <c r="A102" t="s">
        <v>184</v>
      </c>
    </row>
    <row r="103" spans="1:1" x14ac:dyDescent="0.45">
      <c r="A103" t="s">
        <v>185</v>
      </c>
    </row>
    <row r="104" spans="1:1" x14ac:dyDescent="0.45">
      <c r="A104" t="s">
        <v>186</v>
      </c>
    </row>
    <row r="105" spans="1:1" x14ac:dyDescent="0.45">
      <c r="A105" t="s">
        <v>187</v>
      </c>
    </row>
    <row r="106" spans="1:1" x14ac:dyDescent="0.45">
      <c r="A106" t="s">
        <v>188</v>
      </c>
    </row>
    <row r="107" spans="1:1" x14ac:dyDescent="0.45">
      <c r="A107" t="s">
        <v>189</v>
      </c>
    </row>
    <row r="108" spans="1:1" x14ac:dyDescent="0.45">
      <c r="A108" t="s">
        <v>190</v>
      </c>
    </row>
    <row r="109" spans="1:1" x14ac:dyDescent="0.45">
      <c r="A109" t="s">
        <v>191</v>
      </c>
    </row>
    <row r="110" spans="1:1" x14ac:dyDescent="0.45">
      <c r="A110" t="s">
        <v>192</v>
      </c>
    </row>
    <row r="111" spans="1:1" x14ac:dyDescent="0.45">
      <c r="A111" t="s">
        <v>193</v>
      </c>
    </row>
    <row r="112" spans="1:1" x14ac:dyDescent="0.45">
      <c r="A112" t="s">
        <v>194</v>
      </c>
    </row>
    <row r="113" spans="1:1" x14ac:dyDescent="0.45">
      <c r="A113" t="s">
        <v>195</v>
      </c>
    </row>
    <row r="114" spans="1:1" x14ac:dyDescent="0.45">
      <c r="A114" t="s">
        <v>196</v>
      </c>
    </row>
    <row r="115" spans="1:1" x14ac:dyDescent="0.45">
      <c r="A115" t="s">
        <v>198</v>
      </c>
    </row>
    <row r="116" spans="1:1" x14ac:dyDescent="0.45">
      <c r="A116" t="s">
        <v>199</v>
      </c>
    </row>
    <row r="117" spans="1:1" x14ac:dyDescent="0.45">
      <c r="A117" t="s">
        <v>200</v>
      </c>
    </row>
    <row r="118" spans="1:1" x14ac:dyDescent="0.45">
      <c r="A118" t="s">
        <v>201</v>
      </c>
    </row>
    <row r="119" spans="1:1" x14ac:dyDescent="0.45">
      <c r="A119" t="s">
        <v>203</v>
      </c>
    </row>
    <row r="120" spans="1:1" x14ac:dyDescent="0.45">
      <c r="A120" t="s">
        <v>204</v>
      </c>
    </row>
    <row r="121" spans="1:1" x14ac:dyDescent="0.45">
      <c r="A121" t="s">
        <v>205</v>
      </c>
    </row>
    <row r="122" spans="1:1" x14ac:dyDescent="0.45">
      <c r="A122" t="s">
        <v>206</v>
      </c>
    </row>
    <row r="123" spans="1:1" x14ac:dyDescent="0.45">
      <c r="A123" t="s">
        <v>207</v>
      </c>
    </row>
    <row r="124" spans="1:1" x14ac:dyDescent="0.45">
      <c r="A124" t="s">
        <v>208</v>
      </c>
    </row>
    <row r="125" spans="1:1" x14ac:dyDescent="0.45">
      <c r="A125" t="s">
        <v>209</v>
      </c>
    </row>
    <row r="126" spans="1:1" x14ac:dyDescent="0.45">
      <c r="A126" t="s">
        <v>210</v>
      </c>
    </row>
    <row r="127" spans="1:1" x14ac:dyDescent="0.45">
      <c r="A127" t="s">
        <v>211</v>
      </c>
    </row>
    <row r="128" spans="1:1" x14ac:dyDescent="0.45">
      <c r="A128" t="s">
        <v>212</v>
      </c>
    </row>
    <row r="129" spans="1:1" x14ac:dyDescent="0.45">
      <c r="A129" t="s">
        <v>213</v>
      </c>
    </row>
    <row r="130" spans="1:1" x14ac:dyDescent="0.45">
      <c r="A130" t="s">
        <v>214</v>
      </c>
    </row>
    <row r="131" spans="1:1" x14ac:dyDescent="0.45">
      <c r="A131" t="s">
        <v>215</v>
      </c>
    </row>
    <row r="132" spans="1:1" x14ac:dyDescent="0.45">
      <c r="A132" t="s">
        <v>216</v>
      </c>
    </row>
    <row r="133" spans="1:1" x14ac:dyDescent="0.45">
      <c r="A133" t="s">
        <v>218</v>
      </c>
    </row>
    <row r="134" spans="1:1" x14ac:dyDescent="0.45">
      <c r="A134" t="s">
        <v>219</v>
      </c>
    </row>
    <row r="135" spans="1:1" x14ac:dyDescent="0.45">
      <c r="A135" t="s">
        <v>220</v>
      </c>
    </row>
    <row r="136" spans="1:1" x14ac:dyDescent="0.45">
      <c r="A136" t="s">
        <v>221</v>
      </c>
    </row>
    <row r="137" spans="1:1" x14ac:dyDescent="0.45">
      <c r="A137" t="s">
        <v>222</v>
      </c>
    </row>
    <row r="138" spans="1:1" x14ac:dyDescent="0.45">
      <c r="A138" t="s">
        <v>223</v>
      </c>
    </row>
    <row r="139" spans="1:1" x14ac:dyDescent="0.45">
      <c r="A139" t="s">
        <v>224</v>
      </c>
    </row>
    <row r="140" spans="1:1" x14ac:dyDescent="0.45">
      <c r="A140" t="s">
        <v>225</v>
      </c>
    </row>
    <row r="141" spans="1:1" x14ac:dyDescent="0.45">
      <c r="A141" t="s">
        <v>226</v>
      </c>
    </row>
    <row r="142" spans="1:1" x14ac:dyDescent="0.45">
      <c r="A142" t="s">
        <v>227</v>
      </c>
    </row>
    <row r="143" spans="1:1" x14ac:dyDescent="0.45">
      <c r="A143" t="s">
        <v>228</v>
      </c>
    </row>
    <row r="144" spans="1:1" x14ac:dyDescent="0.45">
      <c r="A144" t="s">
        <v>229</v>
      </c>
    </row>
    <row r="145" spans="1:1" x14ac:dyDescent="0.45">
      <c r="A145" t="s">
        <v>230</v>
      </c>
    </row>
    <row r="146" spans="1:1" x14ac:dyDescent="0.45">
      <c r="A146" t="s">
        <v>231</v>
      </c>
    </row>
    <row r="147" spans="1:1" x14ac:dyDescent="0.45">
      <c r="A147" t="s">
        <v>232</v>
      </c>
    </row>
    <row r="148" spans="1:1" x14ac:dyDescent="0.45">
      <c r="A148" t="s">
        <v>233</v>
      </c>
    </row>
    <row r="149" spans="1:1" x14ac:dyDescent="0.45">
      <c r="A149" t="s">
        <v>234</v>
      </c>
    </row>
    <row r="150" spans="1:1" x14ac:dyDescent="0.45">
      <c r="A150" t="s">
        <v>235</v>
      </c>
    </row>
    <row r="151" spans="1:1" x14ac:dyDescent="0.45">
      <c r="A151" t="s">
        <v>236</v>
      </c>
    </row>
    <row r="152" spans="1:1" x14ac:dyDescent="0.45">
      <c r="A152" t="s">
        <v>237</v>
      </c>
    </row>
    <row r="153" spans="1:1" x14ac:dyDescent="0.45">
      <c r="A153" t="s">
        <v>238</v>
      </c>
    </row>
    <row r="154" spans="1:1" x14ac:dyDescent="0.45">
      <c r="A154" t="s">
        <v>239</v>
      </c>
    </row>
    <row r="155" spans="1:1" x14ac:dyDescent="0.45">
      <c r="A155" t="s">
        <v>240</v>
      </c>
    </row>
    <row r="156" spans="1:1" x14ac:dyDescent="0.45">
      <c r="A156" t="s">
        <v>241</v>
      </c>
    </row>
    <row r="157" spans="1:1" x14ac:dyDescent="0.45">
      <c r="A157" t="s">
        <v>242</v>
      </c>
    </row>
    <row r="158" spans="1:1" x14ac:dyDescent="0.45">
      <c r="A158" t="s">
        <v>243</v>
      </c>
    </row>
    <row r="159" spans="1:1" x14ac:dyDescent="0.45">
      <c r="A159" t="s">
        <v>244</v>
      </c>
    </row>
    <row r="160" spans="1:1" x14ac:dyDescent="0.45">
      <c r="A160" t="s">
        <v>245</v>
      </c>
    </row>
    <row r="161" spans="1:1" x14ac:dyDescent="0.45">
      <c r="A161" t="s">
        <v>246</v>
      </c>
    </row>
    <row r="162" spans="1:1" x14ac:dyDescent="0.45">
      <c r="A162" t="s">
        <v>247</v>
      </c>
    </row>
    <row r="163" spans="1:1" x14ac:dyDescent="0.45">
      <c r="A163" t="s">
        <v>248</v>
      </c>
    </row>
    <row r="164" spans="1:1" x14ac:dyDescent="0.45">
      <c r="A164" t="s">
        <v>249</v>
      </c>
    </row>
    <row r="165" spans="1:1" x14ac:dyDescent="0.45">
      <c r="A165" t="s">
        <v>250</v>
      </c>
    </row>
    <row r="166" spans="1:1" x14ac:dyDescent="0.45">
      <c r="A166" t="s">
        <v>251</v>
      </c>
    </row>
    <row r="167" spans="1:1" x14ac:dyDescent="0.45">
      <c r="A167" t="s">
        <v>252</v>
      </c>
    </row>
    <row r="168" spans="1:1" x14ac:dyDescent="0.45">
      <c r="A168" t="s">
        <v>253</v>
      </c>
    </row>
    <row r="169" spans="1:1" x14ac:dyDescent="0.45">
      <c r="A169" t="s">
        <v>254</v>
      </c>
    </row>
    <row r="170" spans="1:1" x14ac:dyDescent="0.45">
      <c r="A170" t="s">
        <v>255</v>
      </c>
    </row>
    <row r="171" spans="1:1" x14ac:dyDescent="0.45">
      <c r="A171" t="s">
        <v>256</v>
      </c>
    </row>
    <row r="172" spans="1:1" x14ac:dyDescent="0.45">
      <c r="A172" t="s">
        <v>257</v>
      </c>
    </row>
    <row r="173" spans="1:1" x14ac:dyDescent="0.45">
      <c r="A173" t="s">
        <v>258</v>
      </c>
    </row>
    <row r="174" spans="1:1" x14ac:dyDescent="0.45">
      <c r="A174" t="s">
        <v>259</v>
      </c>
    </row>
    <row r="175" spans="1:1" x14ac:dyDescent="0.45">
      <c r="A175" t="s">
        <v>260</v>
      </c>
    </row>
    <row r="176" spans="1:1" x14ac:dyDescent="0.45">
      <c r="A176" t="s">
        <v>261</v>
      </c>
    </row>
    <row r="177" spans="1:1" x14ac:dyDescent="0.45">
      <c r="A177" t="s">
        <v>262</v>
      </c>
    </row>
    <row r="178" spans="1:1" x14ac:dyDescent="0.45">
      <c r="A178" t="s">
        <v>263</v>
      </c>
    </row>
    <row r="179" spans="1:1" x14ac:dyDescent="0.45">
      <c r="A179" t="s">
        <v>264</v>
      </c>
    </row>
    <row r="180" spans="1:1" x14ac:dyDescent="0.45">
      <c r="A180" t="s">
        <v>265</v>
      </c>
    </row>
    <row r="181" spans="1:1" x14ac:dyDescent="0.45">
      <c r="A181" t="s">
        <v>266</v>
      </c>
    </row>
    <row r="182" spans="1:1" x14ac:dyDescent="0.45">
      <c r="A182" t="s">
        <v>267</v>
      </c>
    </row>
    <row r="183" spans="1:1" x14ac:dyDescent="0.45">
      <c r="A183" t="s">
        <v>268</v>
      </c>
    </row>
    <row r="184" spans="1:1" x14ac:dyDescent="0.45">
      <c r="A184" t="s">
        <v>269</v>
      </c>
    </row>
    <row r="185" spans="1:1" x14ac:dyDescent="0.45">
      <c r="A185" t="s">
        <v>270</v>
      </c>
    </row>
    <row r="186" spans="1:1" x14ac:dyDescent="0.45">
      <c r="A186" t="s">
        <v>271</v>
      </c>
    </row>
    <row r="187" spans="1:1" x14ac:dyDescent="0.45">
      <c r="A187" t="s">
        <v>272</v>
      </c>
    </row>
    <row r="188" spans="1:1" x14ac:dyDescent="0.45">
      <c r="A188" t="s">
        <v>273</v>
      </c>
    </row>
    <row r="189" spans="1:1" x14ac:dyDescent="0.45">
      <c r="A189" t="s">
        <v>274</v>
      </c>
    </row>
    <row r="190" spans="1:1" x14ac:dyDescent="0.45">
      <c r="A190" t="s">
        <v>275</v>
      </c>
    </row>
    <row r="191" spans="1:1" x14ac:dyDescent="0.45">
      <c r="A191" t="s">
        <v>276</v>
      </c>
    </row>
    <row r="192" spans="1:1" x14ac:dyDescent="0.45">
      <c r="A192" t="s">
        <v>277</v>
      </c>
    </row>
    <row r="193" spans="1:1" x14ac:dyDescent="0.45">
      <c r="A193" t="s">
        <v>278</v>
      </c>
    </row>
    <row r="194" spans="1:1" x14ac:dyDescent="0.45">
      <c r="A194" t="s">
        <v>279</v>
      </c>
    </row>
    <row r="195" spans="1:1" x14ac:dyDescent="0.45">
      <c r="A195" t="s">
        <v>280</v>
      </c>
    </row>
    <row r="196" spans="1:1" x14ac:dyDescent="0.45">
      <c r="A196" t="s">
        <v>281</v>
      </c>
    </row>
    <row r="197" spans="1:1" x14ac:dyDescent="0.45">
      <c r="A197" t="s">
        <v>282</v>
      </c>
    </row>
    <row r="198" spans="1:1" x14ac:dyDescent="0.45">
      <c r="A198" t="s">
        <v>283</v>
      </c>
    </row>
    <row r="199" spans="1:1" x14ac:dyDescent="0.45">
      <c r="A199" t="s">
        <v>284</v>
      </c>
    </row>
    <row r="200" spans="1:1" x14ac:dyDescent="0.45">
      <c r="A200" t="s">
        <v>285</v>
      </c>
    </row>
    <row r="201" spans="1:1" x14ac:dyDescent="0.45">
      <c r="A201" t="s">
        <v>286</v>
      </c>
    </row>
    <row r="202" spans="1:1" x14ac:dyDescent="0.45">
      <c r="A202" t="s">
        <v>287</v>
      </c>
    </row>
    <row r="203" spans="1:1" x14ac:dyDescent="0.45">
      <c r="A203" t="s">
        <v>288</v>
      </c>
    </row>
    <row r="204" spans="1:1" x14ac:dyDescent="0.45">
      <c r="A204" t="s">
        <v>289</v>
      </c>
    </row>
    <row r="205" spans="1:1" x14ac:dyDescent="0.45">
      <c r="A205" t="s">
        <v>290</v>
      </c>
    </row>
    <row r="206" spans="1:1" x14ac:dyDescent="0.45">
      <c r="A206" t="s">
        <v>291</v>
      </c>
    </row>
    <row r="207" spans="1:1" x14ac:dyDescent="0.45">
      <c r="A207" t="s">
        <v>292</v>
      </c>
    </row>
    <row r="208" spans="1:1" x14ac:dyDescent="0.45">
      <c r="A208" t="s">
        <v>293</v>
      </c>
    </row>
    <row r="209" spans="1:1" x14ac:dyDescent="0.45">
      <c r="A209" t="s">
        <v>294</v>
      </c>
    </row>
    <row r="210" spans="1:1" x14ac:dyDescent="0.45">
      <c r="A210" t="s">
        <v>295</v>
      </c>
    </row>
    <row r="211" spans="1:1" x14ac:dyDescent="0.45">
      <c r="A211" t="s">
        <v>296</v>
      </c>
    </row>
    <row r="212" spans="1:1" x14ac:dyDescent="0.45">
      <c r="A212" t="s">
        <v>297</v>
      </c>
    </row>
    <row r="213" spans="1:1" x14ac:dyDescent="0.45">
      <c r="A213" t="s">
        <v>298</v>
      </c>
    </row>
    <row r="214" spans="1:1" x14ac:dyDescent="0.45">
      <c r="A214" t="s">
        <v>299</v>
      </c>
    </row>
    <row r="215" spans="1:1" x14ac:dyDescent="0.45">
      <c r="A215" t="s">
        <v>300</v>
      </c>
    </row>
    <row r="216" spans="1:1" x14ac:dyDescent="0.45">
      <c r="A216" t="s">
        <v>301</v>
      </c>
    </row>
    <row r="217" spans="1:1" x14ac:dyDescent="0.45">
      <c r="A217" t="s">
        <v>302</v>
      </c>
    </row>
    <row r="218" spans="1:1" x14ac:dyDescent="0.45">
      <c r="A218" t="s">
        <v>303</v>
      </c>
    </row>
    <row r="219" spans="1:1" x14ac:dyDescent="0.45">
      <c r="A219" t="s">
        <v>304</v>
      </c>
    </row>
    <row r="220" spans="1:1" x14ac:dyDescent="0.45">
      <c r="A220" t="s">
        <v>305</v>
      </c>
    </row>
    <row r="221" spans="1:1" x14ac:dyDescent="0.45">
      <c r="A221" t="s">
        <v>306</v>
      </c>
    </row>
    <row r="222" spans="1:1" x14ac:dyDescent="0.45">
      <c r="A222" t="s">
        <v>307</v>
      </c>
    </row>
    <row r="223" spans="1:1" x14ac:dyDescent="0.45">
      <c r="A223" t="s">
        <v>308</v>
      </c>
    </row>
    <row r="224" spans="1:1" x14ac:dyDescent="0.45">
      <c r="A224" t="s">
        <v>309</v>
      </c>
    </row>
    <row r="225" spans="1:1" x14ac:dyDescent="0.45">
      <c r="A225" t="s">
        <v>310</v>
      </c>
    </row>
    <row r="226" spans="1:1" x14ac:dyDescent="0.45">
      <c r="A226" t="s">
        <v>311</v>
      </c>
    </row>
    <row r="227" spans="1:1" x14ac:dyDescent="0.45">
      <c r="A227" t="s">
        <v>312</v>
      </c>
    </row>
    <row r="228" spans="1:1" x14ac:dyDescent="0.45">
      <c r="A228" t="s">
        <v>313</v>
      </c>
    </row>
    <row r="229" spans="1:1" x14ac:dyDescent="0.45">
      <c r="A229" t="s">
        <v>314</v>
      </c>
    </row>
    <row r="230" spans="1:1" x14ac:dyDescent="0.45">
      <c r="A230" t="s">
        <v>315</v>
      </c>
    </row>
    <row r="231" spans="1:1" x14ac:dyDescent="0.45">
      <c r="A231" t="s">
        <v>316</v>
      </c>
    </row>
    <row r="232" spans="1:1" x14ac:dyDescent="0.45">
      <c r="A232" t="s">
        <v>317</v>
      </c>
    </row>
    <row r="233" spans="1:1" x14ac:dyDescent="0.45">
      <c r="A233" t="s">
        <v>318</v>
      </c>
    </row>
    <row r="234" spans="1:1" x14ac:dyDescent="0.45">
      <c r="A234" t="s">
        <v>319</v>
      </c>
    </row>
    <row r="235" spans="1:1" x14ac:dyDescent="0.45">
      <c r="A235" t="s">
        <v>320</v>
      </c>
    </row>
    <row r="236" spans="1:1" x14ac:dyDescent="0.45">
      <c r="A236" t="s">
        <v>321</v>
      </c>
    </row>
    <row r="237" spans="1:1" x14ac:dyDescent="0.45">
      <c r="A237" t="s">
        <v>322</v>
      </c>
    </row>
    <row r="238" spans="1:1" x14ac:dyDescent="0.45">
      <c r="A238" t="s">
        <v>323</v>
      </c>
    </row>
    <row r="239" spans="1:1" x14ac:dyDescent="0.45">
      <c r="A239" t="s">
        <v>324</v>
      </c>
    </row>
    <row r="240" spans="1:1" x14ac:dyDescent="0.45">
      <c r="A240" t="s">
        <v>325</v>
      </c>
    </row>
    <row r="241" spans="1:1" x14ac:dyDescent="0.45">
      <c r="A241" t="s">
        <v>326</v>
      </c>
    </row>
    <row r="242" spans="1:1" x14ac:dyDescent="0.45">
      <c r="A242" t="s">
        <v>327</v>
      </c>
    </row>
    <row r="243" spans="1:1" x14ac:dyDescent="0.45">
      <c r="A243" t="s">
        <v>328</v>
      </c>
    </row>
    <row r="244" spans="1:1" x14ac:dyDescent="0.45">
      <c r="A244" t="s">
        <v>329</v>
      </c>
    </row>
    <row r="245" spans="1:1" x14ac:dyDescent="0.45">
      <c r="A245" t="s">
        <v>330</v>
      </c>
    </row>
    <row r="246" spans="1:1" x14ac:dyDescent="0.45">
      <c r="A246" t="s">
        <v>331</v>
      </c>
    </row>
    <row r="247" spans="1:1" x14ac:dyDescent="0.45">
      <c r="A247" t="s">
        <v>332</v>
      </c>
    </row>
    <row r="248" spans="1:1" x14ac:dyDescent="0.45">
      <c r="A248" t="s">
        <v>333</v>
      </c>
    </row>
    <row r="249" spans="1:1" x14ac:dyDescent="0.45">
      <c r="A249" t="s">
        <v>334</v>
      </c>
    </row>
    <row r="250" spans="1:1" x14ac:dyDescent="0.45">
      <c r="A250" t="s">
        <v>335</v>
      </c>
    </row>
    <row r="251" spans="1:1" x14ac:dyDescent="0.45">
      <c r="A251" t="s">
        <v>336</v>
      </c>
    </row>
    <row r="252" spans="1:1" x14ac:dyDescent="0.45">
      <c r="A252" t="s">
        <v>337</v>
      </c>
    </row>
    <row r="253" spans="1:1" x14ac:dyDescent="0.45">
      <c r="A253" t="s">
        <v>338</v>
      </c>
    </row>
    <row r="254" spans="1:1" x14ac:dyDescent="0.45">
      <c r="A254" t="s">
        <v>339</v>
      </c>
    </row>
    <row r="255" spans="1:1" x14ac:dyDescent="0.45">
      <c r="A255" t="s">
        <v>340</v>
      </c>
    </row>
    <row r="256" spans="1:1" x14ac:dyDescent="0.45">
      <c r="A256" t="s">
        <v>341</v>
      </c>
    </row>
    <row r="257" spans="1:1" x14ac:dyDescent="0.45">
      <c r="A257" t="s">
        <v>342</v>
      </c>
    </row>
    <row r="258" spans="1:1" x14ac:dyDescent="0.45">
      <c r="A258" t="s">
        <v>343</v>
      </c>
    </row>
    <row r="259" spans="1:1" x14ac:dyDescent="0.45">
      <c r="A259" t="s">
        <v>344</v>
      </c>
    </row>
    <row r="260" spans="1:1" x14ac:dyDescent="0.45">
      <c r="A260" t="s">
        <v>345</v>
      </c>
    </row>
    <row r="261" spans="1:1" x14ac:dyDescent="0.45">
      <c r="A261" t="s">
        <v>346</v>
      </c>
    </row>
    <row r="262" spans="1:1" x14ac:dyDescent="0.45">
      <c r="A262" t="s">
        <v>347</v>
      </c>
    </row>
    <row r="263" spans="1:1" x14ac:dyDescent="0.45">
      <c r="A263" t="s">
        <v>348</v>
      </c>
    </row>
    <row r="264" spans="1:1" x14ac:dyDescent="0.45">
      <c r="A264" t="s">
        <v>349</v>
      </c>
    </row>
    <row r="265" spans="1:1" x14ac:dyDescent="0.45">
      <c r="A265" t="s">
        <v>350</v>
      </c>
    </row>
    <row r="266" spans="1:1" x14ac:dyDescent="0.45">
      <c r="A266" t="s">
        <v>351</v>
      </c>
    </row>
    <row r="267" spans="1:1" x14ac:dyDescent="0.45">
      <c r="A267" t="s">
        <v>352</v>
      </c>
    </row>
    <row r="268" spans="1:1" x14ac:dyDescent="0.45">
      <c r="A268" t="s">
        <v>353</v>
      </c>
    </row>
    <row r="269" spans="1:1" x14ac:dyDescent="0.45">
      <c r="A269" t="s">
        <v>354</v>
      </c>
    </row>
    <row r="270" spans="1:1" x14ac:dyDescent="0.45">
      <c r="A270" t="s">
        <v>355</v>
      </c>
    </row>
    <row r="271" spans="1:1" x14ac:dyDescent="0.45">
      <c r="A271" t="s">
        <v>356</v>
      </c>
    </row>
    <row r="272" spans="1:1" x14ac:dyDescent="0.45">
      <c r="A272" t="s">
        <v>357</v>
      </c>
    </row>
    <row r="273" spans="1:1" x14ac:dyDescent="0.45">
      <c r="A273" t="s">
        <v>358</v>
      </c>
    </row>
    <row r="274" spans="1:1" x14ac:dyDescent="0.45">
      <c r="A274" t="s">
        <v>359</v>
      </c>
    </row>
    <row r="275" spans="1:1" x14ac:dyDescent="0.45">
      <c r="A275" t="s">
        <v>360</v>
      </c>
    </row>
    <row r="276" spans="1:1" x14ac:dyDescent="0.45">
      <c r="A276" t="s">
        <v>361</v>
      </c>
    </row>
    <row r="277" spans="1:1" x14ac:dyDescent="0.45">
      <c r="A277" t="s">
        <v>362</v>
      </c>
    </row>
    <row r="278" spans="1:1" x14ac:dyDescent="0.45">
      <c r="A278" t="s">
        <v>363</v>
      </c>
    </row>
    <row r="279" spans="1:1" x14ac:dyDescent="0.45">
      <c r="A279" t="s">
        <v>364</v>
      </c>
    </row>
    <row r="280" spans="1:1" x14ac:dyDescent="0.45">
      <c r="A280" t="s">
        <v>365</v>
      </c>
    </row>
    <row r="281" spans="1:1" x14ac:dyDescent="0.45">
      <c r="A281" t="s">
        <v>366</v>
      </c>
    </row>
    <row r="282" spans="1:1" x14ac:dyDescent="0.45">
      <c r="A282" t="s">
        <v>367</v>
      </c>
    </row>
    <row r="283" spans="1:1" x14ac:dyDescent="0.45">
      <c r="A283" t="s">
        <v>368</v>
      </c>
    </row>
    <row r="284" spans="1:1" x14ac:dyDescent="0.45">
      <c r="A284" t="s">
        <v>369</v>
      </c>
    </row>
    <row r="285" spans="1:1" x14ac:dyDescent="0.45">
      <c r="A285" t="s">
        <v>370</v>
      </c>
    </row>
    <row r="286" spans="1:1" x14ac:dyDescent="0.45">
      <c r="A286" t="s">
        <v>371</v>
      </c>
    </row>
    <row r="287" spans="1:1" x14ac:dyDescent="0.45">
      <c r="A287" t="s">
        <v>372</v>
      </c>
    </row>
    <row r="288" spans="1:1" x14ac:dyDescent="0.45">
      <c r="A288" t="s">
        <v>373</v>
      </c>
    </row>
    <row r="289" spans="1:1" x14ac:dyDescent="0.45">
      <c r="A289" t="s">
        <v>374</v>
      </c>
    </row>
    <row r="290" spans="1:1" x14ac:dyDescent="0.45">
      <c r="A290" t="s">
        <v>375</v>
      </c>
    </row>
    <row r="291" spans="1:1" x14ac:dyDescent="0.45">
      <c r="A291" t="s">
        <v>376</v>
      </c>
    </row>
    <row r="292" spans="1:1" x14ac:dyDescent="0.45">
      <c r="A292" t="s">
        <v>377</v>
      </c>
    </row>
    <row r="293" spans="1:1" x14ac:dyDescent="0.45">
      <c r="A293" t="s">
        <v>378</v>
      </c>
    </row>
    <row r="294" spans="1:1" x14ac:dyDescent="0.45">
      <c r="A294" t="s">
        <v>379</v>
      </c>
    </row>
    <row r="295" spans="1:1" x14ac:dyDescent="0.45">
      <c r="A295" t="s">
        <v>380</v>
      </c>
    </row>
    <row r="296" spans="1:1" x14ac:dyDescent="0.45">
      <c r="A296" t="s">
        <v>381</v>
      </c>
    </row>
    <row r="297" spans="1:1" x14ac:dyDescent="0.45">
      <c r="A297" t="s">
        <v>382</v>
      </c>
    </row>
    <row r="298" spans="1:1" x14ac:dyDescent="0.45">
      <c r="A298" t="s">
        <v>383</v>
      </c>
    </row>
    <row r="299" spans="1:1" x14ac:dyDescent="0.45">
      <c r="A299" t="s">
        <v>384</v>
      </c>
    </row>
    <row r="300" spans="1:1" x14ac:dyDescent="0.45">
      <c r="A300" t="s">
        <v>385</v>
      </c>
    </row>
    <row r="301" spans="1:1" x14ac:dyDescent="0.45">
      <c r="A301" t="s">
        <v>386</v>
      </c>
    </row>
    <row r="302" spans="1:1" x14ac:dyDescent="0.45">
      <c r="A302" t="s">
        <v>387</v>
      </c>
    </row>
    <row r="303" spans="1:1" x14ac:dyDescent="0.45">
      <c r="A303" t="s">
        <v>388</v>
      </c>
    </row>
    <row r="304" spans="1:1" x14ac:dyDescent="0.45">
      <c r="A304" t="s">
        <v>389</v>
      </c>
    </row>
    <row r="305" spans="1:1" x14ac:dyDescent="0.45">
      <c r="A305" t="s">
        <v>390</v>
      </c>
    </row>
    <row r="306" spans="1:1" x14ac:dyDescent="0.45">
      <c r="A306" t="s">
        <v>391</v>
      </c>
    </row>
    <row r="307" spans="1:1" x14ac:dyDescent="0.45">
      <c r="A307" t="s">
        <v>392</v>
      </c>
    </row>
    <row r="308" spans="1:1" x14ac:dyDescent="0.45">
      <c r="A308" t="s">
        <v>393</v>
      </c>
    </row>
    <row r="309" spans="1:1" x14ac:dyDescent="0.45">
      <c r="A309" t="s">
        <v>394</v>
      </c>
    </row>
    <row r="310" spans="1:1" x14ac:dyDescent="0.45">
      <c r="A310" t="s">
        <v>395</v>
      </c>
    </row>
    <row r="311" spans="1:1" x14ac:dyDescent="0.45">
      <c r="A311" t="s">
        <v>396</v>
      </c>
    </row>
    <row r="312" spans="1:1" x14ac:dyDescent="0.45">
      <c r="A312" t="s">
        <v>397</v>
      </c>
    </row>
    <row r="313" spans="1:1" x14ac:dyDescent="0.45">
      <c r="A313" t="s">
        <v>398</v>
      </c>
    </row>
    <row r="314" spans="1:1" x14ac:dyDescent="0.45">
      <c r="A314" t="s">
        <v>399</v>
      </c>
    </row>
    <row r="315" spans="1:1" x14ac:dyDescent="0.45">
      <c r="A315" t="s">
        <v>400</v>
      </c>
    </row>
    <row r="316" spans="1:1" x14ac:dyDescent="0.45">
      <c r="A316" t="s">
        <v>401</v>
      </c>
    </row>
    <row r="317" spans="1:1" x14ac:dyDescent="0.45">
      <c r="A317" t="s">
        <v>402</v>
      </c>
    </row>
    <row r="318" spans="1:1" x14ac:dyDescent="0.45">
      <c r="A318" t="s">
        <v>403</v>
      </c>
    </row>
    <row r="319" spans="1:1" x14ac:dyDescent="0.45">
      <c r="A319" t="s">
        <v>404</v>
      </c>
    </row>
    <row r="320" spans="1:1" x14ac:dyDescent="0.45">
      <c r="A320" t="s">
        <v>405</v>
      </c>
    </row>
    <row r="321" spans="1:1" x14ac:dyDescent="0.45">
      <c r="A321" t="s">
        <v>406</v>
      </c>
    </row>
    <row r="322" spans="1:1" x14ac:dyDescent="0.45">
      <c r="A322" t="s">
        <v>407</v>
      </c>
    </row>
    <row r="323" spans="1:1" x14ac:dyDescent="0.45">
      <c r="A323" t="s">
        <v>408</v>
      </c>
    </row>
    <row r="324" spans="1:1" x14ac:dyDescent="0.45">
      <c r="A324" t="s">
        <v>409</v>
      </c>
    </row>
    <row r="325" spans="1:1" x14ac:dyDescent="0.45">
      <c r="A325" t="s">
        <v>410</v>
      </c>
    </row>
    <row r="326" spans="1:1" x14ac:dyDescent="0.45">
      <c r="A326" t="s">
        <v>411</v>
      </c>
    </row>
    <row r="327" spans="1:1" x14ac:dyDescent="0.45">
      <c r="A327" t="s">
        <v>412</v>
      </c>
    </row>
    <row r="328" spans="1:1" x14ac:dyDescent="0.45">
      <c r="A328" t="s">
        <v>413</v>
      </c>
    </row>
    <row r="329" spans="1:1" x14ac:dyDescent="0.45">
      <c r="A329" t="s">
        <v>414</v>
      </c>
    </row>
    <row r="330" spans="1:1" x14ac:dyDescent="0.45">
      <c r="A330" t="s">
        <v>415</v>
      </c>
    </row>
    <row r="331" spans="1:1" x14ac:dyDescent="0.45">
      <c r="A331" t="s">
        <v>416</v>
      </c>
    </row>
    <row r="332" spans="1:1" x14ac:dyDescent="0.45">
      <c r="A332" t="s">
        <v>417</v>
      </c>
    </row>
    <row r="333" spans="1:1" x14ac:dyDescent="0.45">
      <c r="A333" t="s">
        <v>418</v>
      </c>
    </row>
    <row r="334" spans="1:1" x14ac:dyDescent="0.45">
      <c r="A334" t="s">
        <v>419</v>
      </c>
    </row>
    <row r="335" spans="1:1" x14ac:dyDescent="0.45">
      <c r="A335" t="s">
        <v>420</v>
      </c>
    </row>
    <row r="336" spans="1:1" x14ac:dyDescent="0.45">
      <c r="A336" t="s">
        <v>421</v>
      </c>
    </row>
    <row r="337" spans="1:1" x14ac:dyDescent="0.45">
      <c r="A337" t="s">
        <v>422</v>
      </c>
    </row>
    <row r="338" spans="1:1" x14ac:dyDescent="0.45">
      <c r="A338" t="s">
        <v>423</v>
      </c>
    </row>
    <row r="339" spans="1:1" x14ac:dyDescent="0.45">
      <c r="A339" t="s">
        <v>424</v>
      </c>
    </row>
    <row r="340" spans="1:1" x14ac:dyDescent="0.45">
      <c r="A340" t="s">
        <v>425</v>
      </c>
    </row>
    <row r="341" spans="1:1" x14ac:dyDescent="0.45">
      <c r="A341" t="s">
        <v>426</v>
      </c>
    </row>
    <row r="342" spans="1:1" x14ac:dyDescent="0.45">
      <c r="A342" t="s">
        <v>427</v>
      </c>
    </row>
    <row r="343" spans="1:1" x14ac:dyDescent="0.45">
      <c r="A343" t="s">
        <v>428</v>
      </c>
    </row>
    <row r="344" spans="1:1" x14ac:dyDescent="0.45">
      <c r="A344" t="s">
        <v>429</v>
      </c>
    </row>
    <row r="345" spans="1:1" x14ac:dyDescent="0.45">
      <c r="A345" t="s">
        <v>430</v>
      </c>
    </row>
    <row r="346" spans="1:1" x14ac:dyDescent="0.45">
      <c r="A346" t="s">
        <v>431</v>
      </c>
    </row>
    <row r="347" spans="1:1" x14ac:dyDescent="0.45">
      <c r="A347" t="s">
        <v>432</v>
      </c>
    </row>
    <row r="348" spans="1:1" x14ac:dyDescent="0.45">
      <c r="A348" t="s">
        <v>433</v>
      </c>
    </row>
    <row r="349" spans="1:1" x14ac:dyDescent="0.45">
      <c r="A349" t="s">
        <v>434</v>
      </c>
    </row>
    <row r="350" spans="1:1" x14ac:dyDescent="0.45">
      <c r="A350" t="s">
        <v>435</v>
      </c>
    </row>
    <row r="351" spans="1:1" x14ac:dyDescent="0.45">
      <c r="A351" t="s">
        <v>436</v>
      </c>
    </row>
    <row r="352" spans="1:1" x14ac:dyDescent="0.45">
      <c r="A352" t="s">
        <v>437</v>
      </c>
    </row>
    <row r="353" spans="1:1" x14ac:dyDescent="0.45">
      <c r="A353" t="s">
        <v>438</v>
      </c>
    </row>
    <row r="354" spans="1:1" x14ac:dyDescent="0.45">
      <c r="A354" t="s">
        <v>439</v>
      </c>
    </row>
    <row r="355" spans="1:1" x14ac:dyDescent="0.45">
      <c r="A355" t="s">
        <v>440</v>
      </c>
    </row>
    <row r="356" spans="1:1" x14ac:dyDescent="0.45">
      <c r="A356" t="s">
        <v>441</v>
      </c>
    </row>
    <row r="357" spans="1:1" x14ac:dyDescent="0.45">
      <c r="A357" t="s">
        <v>442</v>
      </c>
    </row>
    <row r="358" spans="1:1" x14ac:dyDescent="0.45">
      <c r="A358" t="s">
        <v>443</v>
      </c>
    </row>
    <row r="359" spans="1:1" x14ac:dyDescent="0.45">
      <c r="A359" t="s">
        <v>444</v>
      </c>
    </row>
    <row r="360" spans="1:1" x14ac:dyDescent="0.45">
      <c r="A360" t="s">
        <v>445</v>
      </c>
    </row>
    <row r="361" spans="1:1" x14ac:dyDescent="0.45">
      <c r="A361" t="s">
        <v>446</v>
      </c>
    </row>
    <row r="362" spans="1:1" x14ac:dyDescent="0.45">
      <c r="A362" t="s">
        <v>447</v>
      </c>
    </row>
    <row r="363" spans="1:1" x14ac:dyDescent="0.45">
      <c r="A363" t="s">
        <v>448</v>
      </c>
    </row>
    <row r="364" spans="1:1" x14ac:dyDescent="0.45">
      <c r="A364" t="s">
        <v>449</v>
      </c>
    </row>
    <row r="365" spans="1:1" x14ac:dyDescent="0.45">
      <c r="A365" t="s">
        <v>450</v>
      </c>
    </row>
    <row r="366" spans="1:1" x14ac:dyDescent="0.45">
      <c r="A366" t="s">
        <v>451</v>
      </c>
    </row>
    <row r="367" spans="1:1" x14ac:dyDescent="0.45">
      <c r="A367" t="s">
        <v>452</v>
      </c>
    </row>
    <row r="368" spans="1:1" x14ac:dyDescent="0.45">
      <c r="A368" t="s">
        <v>453</v>
      </c>
    </row>
    <row r="369" spans="1:1" x14ac:dyDescent="0.45">
      <c r="A369" t="s">
        <v>454</v>
      </c>
    </row>
    <row r="370" spans="1:1" x14ac:dyDescent="0.45">
      <c r="A370" t="s">
        <v>455</v>
      </c>
    </row>
    <row r="371" spans="1:1" x14ac:dyDescent="0.45">
      <c r="A371" t="s">
        <v>456</v>
      </c>
    </row>
    <row r="372" spans="1:1" x14ac:dyDescent="0.45">
      <c r="A372" t="s">
        <v>457</v>
      </c>
    </row>
    <row r="373" spans="1:1" x14ac:dyDescent="0.45">
      <c r="A373" t="s">
        <v>458</v>
      </c>
    </row>
    <row r="374" spans="1:1" x14ac:dyDescent="0.45">
      <c r="A374" t="s">
        <v>459</v>
      </c>
    </row>
    <row r="375" spans="1:1" x14ac:dyDescent="0.45">
      <c r="A375" t="s">
        <v>460</v>
      </c>
    </row>
    <row r="376" spans="1:1" x14ac:dyDescent="0.45">
      <c r="A376" t="s">
        <v>461</v>
      </c>
    </row>
    <row r="377" spans="1:1" x14ac:dyDescent="0.45">
      <c r="A377" t="s">
        <v>462</v>
      </c>
    </row>
    <row r="378" spans="1:1" x14ac:dyDescent="0.45">
      <c r="A378" t="s">
        <v>463</v>
      </c>
    </row>
    <row r="379" spans="1:1" x14ac:dyDescent="0.45">
      <c r="A379" t="s">
        <v>464</v>
      </c>
    </row>
    <row r="380" spans="1:1" x14ac:dyDescent="0.45">
      <c r="A380" t="s">
        <v>465</v>
      </c>
    </row>
    <row r="381" spans="1:1" x14ac:dyDescent="0.45">
      <c r="A381" t="s">
        <v>466</v>
      </c>
    </row>
    <row r="382" spans="1:1" x14ac:dyDescent="0.45">
      <c r="A382" t="s">
        <v>467</v>
      </c>
    </row>
    <row r="383" spans="1:1" x14ac:dyDescent="0.45">
      <c r="A383" t="s">
        <v>468</v>
      </c>
    </row>
    <row r="384" spans="1:1" x14ac:dyDescent="0.45">
      <c r="A384" t="s">
        <v>469</v>
      </c>
    </row>
    <row r="385" spans="1:1" x14ac:dyDescent="0.45">
      <c r="A385" t="s">
        <v>470</v>
      </c>
    </row>
    <row r="386" spans="1:1" x14ac:dyDescent="0.45">
      <c r="A386" t="s">
        <v>471</v>
      </c>
    </row>
    <row r="387" spans="1:1" x14ac:dyDescent="0.45">
      <c r="A387" t="s">
        <v>472</v>
      </c>
    </row>
    <row r="388" spans="1:1" x14ac:dyDescent="0.45">
      <c r="A388" t="s">
        <v>473</v>
      </c>
    </row>
    <row r="389" spans="1:1" x14ac:dyDescent="0.45">
      <c r="A389" t="s">
        <v>474</v>
      </c>
    </row>
    <row r="390" spans="1:1" x14ac:dyDescent="0.45">
      <c r="A390" t="s">
        <v>475</v>
      </c>
    </row>
    <row r="391" spans="1:1" x14ac:dyDescent="0.45">
      <c r="A391" t="s">
        <v>476</v>
      </c>
    </row>
    <row r="392" spans="1:1" x14ac:dyDescent="0.45">
      <c r="A392" t="s">
        <v>477</v>
      </c>
    </row>
    <row r="393" spans="1:1" x14ac:dyDescent="0.45">
      <c r="A393" t="s">
        <v>478</v>
      </c>
    </row>
    <row r="394" spans="1:1" x14ac:dyDescent="0.45">
      <c r="A394" t="s">
        <v>479</v>
      </c>
    </row>
    <row r="395" spans="1:1" x14ac:dyDescent="0.45">
      <c r="A395" t="s">
        <v>480</v>
      </c>
    </row>
    <row r="396" spans="1:1" x14ac:dyDescent="0.45">
      <c r="A396" t="s">
        <v>481</v>
      </c>
    </row>
    <row r="397" spans="1:1" x14ac:dyDescent="0.45">
      <c r="A397" t="s">
        <v>482</v>
      </c>
    </row>
    <row r="398" spans="1:1" x14ac:dyDescent="0.45">
      <c r="A398" t="s">
        <v>483</v>
      </c>
    </row>
    <row r="399" spans="1:1" x14ac:dyDescent="0.45">
      <c r="A399" t="s">
        <v>484</v>
      </c>
    </row>
    <row r="400" spans="1:1" x14ac:dyDescent="0.45">
      <c r="A400" t="s">
        <v>485</v>
      </c>
    </row>
    <row r="401" spans="1:1" x14ac:dyDescent="0.45">
      <c r="A401" t="s">
        <v>486</v>
      </c>
    </row>
    <row r="402" spans="1:1" x14ac:dyDescent="0.45">
      <c r="A402" t="s">
        <v>487</v>
      </c>
    </row>
    <row r="403" spans="1:1" x14ac:dyDescent="0.45">
      <c r="A403" t="s">
        <v>488</v>
      </c>
    </row>
    <row r="404" spans="1:1" x14ac:dyDescent="0.45">
      <c r="A404" t="s">
        <v>489</v>
      </c>
    </row>
    <row r="405" spans="1:1" x14ac:dyDescent="0.45">
      <c r="A405" t="s">
        <v>490</v>
      </c>
    </row>
    <row r="406" spans="1:1" x14ac:dyDescent="0.45">
      <c r="A406" t="s">
        <v>491</v>
      </c>
    </row>
    <row r="407" spans="1:1" x14ac:dyDescent="0.45">
      <c r="A407" t="s">
        <v>492</v>
      </c>
    </row>
    <row r="408" spans="1:1" x14ac:dyDescent="0.45">
      <c r="A408" t="s">
        <v>493</v>
      </c>
    </row>
    <row r="409" spans="1:1" x14ac:dyDescent="0.45">
      <c r="A409" t="s">
        <v>494</v>
      </c>
    </row>
    <row r="410" spans="1:1" x14ac:dyDescent="0.45">
      <c r="A410" t="s">
        <v>495</v>
      </c>
    </row>
    <row r="411" spans="1:1" x14ac:dyDescent="0.45">
      <c r="A411" t="s">
        <v>496</v>
      </c>
    </row>
    <row r="412" spans="1:1" x14ac:dyDescent="0.45">
      <c r="A412" t="s">
        <v>497</v>
      </c>
    </row>
    <row r="413" spans="1:1" x14ac:dyDescent="0.45">
      <c r="A413" t="s">
        <v>498</v>
      </c>
    </row>
    <row r="414" spans="1:1" x14ac:dyDescent="0.45">
      <c r="A414" t="s">
        <v>499</v>
      </c>
    </row>
    <row r="415" spans="1:1" x14ac:dyDescent="0.45">
      <c r="A415" t="s">
        <v>500</v>
      </c>
    </row>
    <row r="416" spans="1:1" x14ac:dyDescent="0.45">
      <c r="A416" t="s">
        <v>501</v>
      </c>
    </row>
    <row r="417" spans="1:1" x14ac:dyDescent="0.45">
      <c r="A417" t="s">
        <v>502</v>
      </c>
    </row>
    <row r="418" spans="1:1" x14ac:dyDescent="0.45">
      <c r="A418" t="s">
        <v>503</v>
      </c>
    </row>
    <row r="419" spans="1:1" x14ac:dyDescent="0.45">
      <c r="A419" t="s">
        <v>504</v>
      </c>
    </row>
    <row r="420" spans="1:1" x14ac:dyDescent="0.45">
      <c r="A420" t="s">
        <v>505</v>
      </c>
    </row>
    <row r="421" spans="1:1" x14ac:dyDescent="0.45">
      <c r="A421" t="s">
        <v>506</v>
      </c>
    </row>
    <row r="422" spans="1:1" x14ac:dyDescent="0.45">
      <c r="A422" t="s">
        <v>507</v>
      </c>
    </row>
    <row r="423" spans="1:1" x14ac:dyDescent="0.45">
      <c r="A423" t="s">
        <v>508</v>
      </c>
    </row>
    <row r="424" spans="1:1" x14ac:dyDescent="0.45">
      <c r="A424" t="s">
        <v>509</v>
      </c>
    </row>
    <row r="425" spans="1:1" x14ac:dyDescent="0.45">
      <c r="A425" t="s">
        <v>510</v>
      </c>
    </row>
    <row r="426" spans="1:1" x14ac:dyDescent="0.45">
      <c r="A426" t="s">
        <v>511</v>
      </c>
    </row>
    <row r="427" spans="1:1" x14ac:dyDescent="0.45">
      <c r="A427" t="s">
        <v>512</v>
      </c>
    </row>
    <row r="428" spans="1:1" x14ac:dyDescent="0.45">
      <c r="A428" t="s">
        <v>513</v>
      </c>
    </row>
    <row r="429" spans="1:1" x14ac:dyDescent="0.45">
      <c r="A429" t="s">
        <v>514</v>
      </c>
    </row>
    <row r="430" spans="1:1" x14ac:dyDescent="0.45">
      <c r="A430" t="s">
        <v>515</v>
      </c>
    </row>
    <row r="431" spans="1:1" x14ac:dyDescent="0.45">
      <c r="A431" t="s">
        <v>516</v>
      </c>
    </row>
    <row r="432" spans="1:1" x14ac:dyDescent="0.45">
      <c r="A432" t="s">
        <v>517</v>
      </c>
    </row>
    <row r="433" spans="1:1" x14ac:dyDescent="0.45">
      <c r="A433" t="s">
        <v>518</v>
      </c>
    </row>
    <row r="434" spans="1:1" x14ac:dyDescent="0.45">
      <c r="A434" t="s">
        <v>519</v>
      </c>
    </row>
    <row r="435" spans="1:1" x14ac:dyDescent="0.45">
      <c r="A435" t="s">
        <v>520</v>
      </c>
    </row>
    <row r="436" spans="1:1" x14ac:dyDescent="0.45">
      <c r="A436" t="s">
        <v>521</v>
      </c>
    </row>
    <row r="437" spans="1:1" x14ac:dyDescent="0.45">
      <c r="A437" t="s">
        <v>522</v>
      </c>
    </row>
    <row r="438" spans="1:1" x14ac:dyDescent="0.45">
      <c r="A438" t="s">
        <v>523</v>
      </c>
    </row>
    <row r="439" spans="1:1" x14ac:dyDescent="0.45">
      <c r="A439" t="s">
        <v>524</v>
      </c>
    </row>
    <row r="440" spans="1:1" x14ac:dyDescent="0.45">
      <c r="A440" t="s">
        <v>525</v>
      </c>
    </row>
    <row r="441" spans="1:1" x14ac:dyDescent="0.45">
      <c r="A441" t="s">
        <v>526</v>
      </c>
    </row>
    <row r="442" spans="1:1" x14ac:dyDescent="0.45">
      <c r="A442" t="s">
        <v>527</v>
      </c>
    </row>
    <row r="443" spans="1:1" x14ac:dyDescent="0.45">
      <c r="A443" t="s">
        <v>528</v>
      </c>
    </row>
    <row r="444" spans="1:1" x14ac:dyDescent="0.45">
      <c r="A444" t="s">
        <v>529</v>
      </c>
    </row>
    <row r="445" spans="1:1" x14ac:dyDescent="0.45">
      <c r="A445" t="s">
        <v>530</v>
      </c>
    </row>
    <row r="446" spans="1:1" x14ac:dyDescent="0.45">
      <c r="A446" t="s">
        <v>531</v>
      </c>
    </row>
    <row r="447" spans="1:1" x14ac:dyDescent="0.45">
      <c r="A447" t="s">
        <v>532</v>
      </c>
    </row>
    <row r="448" spans="1:1" x14ac:dyDescent="0.45">
      <c r="A448" t="s">
        <v>533</v>
      </c>
    </row>
    <row r="449" spans="1:1" x14ac:dyDescent="0.45">
      <c r="A449" t="s">
        <v>534</v>
      </c>
    </row>
    <row r="450" spans="1:1" x14ac:dyDescent="0.45">
      <c r="A450" t="s">
        <v>535</v>
      </c>
    </row>
    <row r="451" spans="1:1" x14ac:dyDescent="0.45">
      <c r="A451" t="s">
        <v>536</v>
      </c>
    </row>
    <row r="452" spans="1:1" x14ac:dyDescent="0.45">
      <c r="A452" t="s">
        <v>537</v>
      </c>
    </row>
    <row r="453" spans="1:1" x14ac:dyDescent="0.45">
      <c r="A453" t="s">
        <v>538</v>
      </c>
    </row>
    <row r="454" spans="1:1" x14ac:dyDescent="0.45">
      <c r="A454" t="s">
        <v>539</v>
      </c>
    </row>
    <row r="455" spans="1:1" x14ac:dyDescent="0.45">
      <c r="A455" t="s">
        <v>540</v>
      </c>
    </row>
    <row r="456" spans="1:1" x14ac:dyDescent="0.45">
      <c r="A456" t="s">
        <v>541</v>
      </c>
    </row>
    <row r="457" spans="1:1" x14ac:dyDescent="0.45">
      <c r="A457" t="s">
        <v>542</v>
      </c>
    </row>
    <row r="458" spans="1:1" x14ac:dyDescent="0.45">
      <c r="A458" t="s">
        <v>543</v>
      </c>
    </row>
    <row r="459" spans="1:1" x14ac:dyDescent="0.45">
      <c r="A459" t="s">
        <v>544</v>
      </c>
    </row>
    <row r="460" spans="1:1" x14ac:dyDescent="0.45">
      <c r="A460" t="s">
        <v>545</v>
      </c>
    </row>
    <row r="461" spans="1:1" x14ac:dyDescent="0.45">
      <c r="A461" t="s">
        <v>546</v>
      </c>
    </row>
    <row r="462" spans="1:1" x14ac:dyDescent="0.45">
      <c r="A462" t="s">
        <v>547</v>
      </c>
    </row>
    <row r="463" spans="1:1" x14ac:dyDescent="0.45">
      <c r="A463" t="s">
        <v>548</v>
      </c>
    </row>
    <row r="464" spans="1:1" x14ac:dyDescent="0.45">
      <c r="A464" t="s">
        <v>549</v>
      </c>
    </row>
    <row r="465" spans="1:1" x14ac:dyDescent="0.45">
      <c r="A465" t="s">
        <v>550</v>
      </c>
    </row>
    <row r="466" spans="1:1" x14ac:dyDescent="0.45">
      <c r="A466" t="s">
        <v>551</v>
      </c>
    </row>
    <row r="467" spans="1:1" x14ac:dyDescent="0.45">
      <c r="A467" t="s">
        <v>552</v>
      </c>
    </row>
    <row r="468" spans="1:1" x14ac:dyDescent="0.45">
      <c r="A468" t="s">
        <v>553</v>
      </c>
    </row>
    <row r="469" spans="1:1" x14ac:dyDescent="0.45">
      <c r="A469" t="s">
        <v>554</v>
      </c>
    </row>
    <row r="470" spans="1:1" x14ac:dyDescent="0.45">
      <c r="A470" t="s">
        <v>555</v>
      </c>
    </row>
    <row r="471" spans="1:1" x14ac:dyDescent="0.45">
      <c r="A471" t="s">
        <v>556</v>
      </c>
    </row>
    <row r="472" spans="1:1" x14ac:dyDescent="0.45">
      <c r="A472" t="s">
        <v>557</v>
      </c>
    </row>
    <row r="473" spans="1:1" x14ac:dyDescent="0.45">
      <c r="A473" t="s">
        <v>558</v>
      </c>
    </row>
    <row r="474" spans="1:1" x14ac:dyDescent="0.45">
      <c r="A474" t="s">
        <v>559</v>
      </c>
    </row>
    <row r="475" spans="1:1" x14ac:dyDescent="0.45">
      <c r="A475" t="s">
        <v>560</v>
      </c>
    </row>
    <row r="476" spans="1:1" x14ac:dyDescent="0.45">
      <c r="A476" t="s">
        <v>561</v>
      </c>
    </row>
    <row r="477" spans="1:1" x14ac:dyDescent="0.45">
      <c r="A477" t="s">
        <v>562</v>
      </c>
    </row>
    <row r="478" spans="1:1" x14ac:dyDescent="0.45">
      <c r="A478" t="s">
        <v>563</v>
      </c>
    </row>
    <row r="479" spans="1:1" x14ac:dyDescent="0.45">
      <c r="A479" t="s">
        <v>564</v>
      </c>
    </row>
    <row r="480" spans="1:1" x14ac:dyDescent="0.45">
      <c r="A480" t="s">
        <v>565</v>
      </c>
    </row>
    <row r="481" spans="1:1" x14ac:dyDescent="0.45">
      <c r="A481" t="s">
        <v>566</v>
      </c>
    </row>
    <row r="482" spans="1:1" x14ac:dyDescent="0.45">
      <c r="A482" t="s">
        <v>567</v>
      </c>
    </row>
    <row r="483" spans="1:1" x14ac:dyDescent="0.45">
      <c r="A483" t="s">
        <v>568</v>
      </c>
    </row>
    <row r="484" spans="1:1" x14ac:dyDescent="0.45">
      <c r="A484" t="s">
        <v>569</v>
      </c>
    </row>
    <row r="485" spans="1:1" x14ac:dyDescent="0.45">
      <c r="A485" t="s">
        <v>570</v>
      </c>
    </row>
    <row r="486" spans="1:1" x14ac:dyDescent="0.45">
      <c r="A486" t="s">
        <v>571</v>
      </c>
    </row>
    <row r="487" spans="1:1" x14ac:dyDescent="0.45">
      <c r="A487" t="s">
        <v>572</v>
      </c>
    </row>
    <row r="488" spans="1:1" x14ac:dyDescent="0.45">
      <c r="A488" t="s">
        <v>573</v>
      </c>
    </row>
    <row r="489" spans="1:1" x14ac:dyDescent="0.45">
      <c r="A489" t="s">
        <v>574</v>
      </c>
    </row>
    <row r="490" spans="1:1" x14ac:dyDescent="0.45">
      <c r="A490" t="s">
        <v>575</v>
      </c>
    </row>
    <row r="491" spans="1:1" x14ac:dyDescent="0.45">
      <c r="A491" t="s">
        <v>576</v>
      </c>
    </row>
    <row r="492" spans="1:1" x14ac:dyDescent="0.45">
      <c r="A492" t="s">
        <v>577</v>
      </c>
    </row>
    <row r="493" spans="1:1" x14ac:dyDescent="0.45">
      <c r="A493" t="s">
        <v>578</v>
      </c>
    </row>
    <row r="494" spans="1:1" x14ac:dyDescent="0.45">
      <c r="A494" t="s">
        <v>579</v>
      </c>
    </row>
    <row r="495" spans="1:1" x14ac:dyDescent="0.45">
      <c r="A495" t="s">
        <v>580</v>
      </c>
    </row>
    <row r="496" spans="1:1" x14ac:dyDescent="0.45">
      <c r="A496" t="s">
        <v>581</v>
      </c>
    </row>
    <row r="497" spans="1:1" x14ac:dyDescent="0.45">
      <c r="A497" t="s">
        <v>582</v>
      </c>
    </row>
    <row r="498" spans="1:1" x14ac:dyDescent="0.45">
      <c r="A498" t="s">
        <v>583</v>
      </c>
    </row>
    <row r="499" spans="1:1" x14ac:dyDescent="0.45">
      <c r="A499" t="s">
        <v>584</v>
      </c>
    </row>
    <row r="500" spans="1:1" x14ac:dyDescent="0.45">
      <c r="A500" t="s">
        <v>585</v>
      </c>
    </row>
    <row r="501" spans="1:1" x14ac:dyDescent="0.45">
      <c r="A501" t="s">
        <v>586</v>
      </c>
    </row>
    <row r="502" spans="1:1" x14ac:dyDescent="0.45">
      <c r="A502" t="s">
        <v>587</v>
      </c>
    </row>
    <row r="503" spans="1:1" x14ac:dyDescent="0.45">
      <c r="A503" t="s">
        <v>588</v>
      </c>
    </row>
    <row r="504" spans="1:1" x14ac:dyDescent="0.45">
      <c r="A504" t="s">
        <v>589</v>
      </c>
    </row>
    <row r="505" spans="1:1" x14ac:dyDescent="0.45">
      <c r="A505" t="s">
        <v>590</v>
      </c>
    </row>
    <row r="506" spans="1:1" x14ac:dyDescent="0.45">
      <c r="A506" t="s">
        <v>591</v>
      </c>
    </row>
    <row r="507" spans="1:1" x14ac:dyDescent="0.45">
      <c r="A507" t="s">
        <v>592</v>
      </c>
    </row>
    <row r="508" spans="1:1" x14ac:dyDescent="0.45">
      <c r="A508" t="s">
        <v>593</v>
      </c>
    </row>
    <row r="509" spans="1:1" x14ac:dyDescent="0.45">
      <c r="A509" t="s">
        <v>594</v>
      </c>
    </row>
    <row r="510" spans="1:1" x14ac:dyDescent="0.45">
      <c r="A510" t="s">
        <v>595</v>
      </c>
    </row>
    <row r="511" spans="1:1" x14ac:dyDescent="0.45">
      <c r="A511" t="s">
        <v>596</v>
      </c>
    </row>
    <row r="512" spans="1:1" x14ac:dyDescent="0.45">
      <c r="A512" t="s">
        <v>597</v>
      </c>
    </row>
    <row r="513" spans="1:1" x14ac:dyDescent="0.45">
      <c r="A513" t="s">
        <v>598</v>
      </c>
    </row>
    <row r="514" spans="1:1" x14ac:dyDescent="0.45">
      <c r="A514" t="s">
        <v>599</v>
      </c>
    </row>
    <row r="515" spans="1:1" x14ac:dyDescent="0.45">
      <c r="A515" t="s">
        <v>600</v>
      </c>
    </row>
    <row r="516" spans="1:1" x14ac:dyDescent="0.45">
      <c r="A516" t="s">
        <v>601</v>
      </c>
    </row>
    <row r="517" spans="1:1" x14ac:dyDescent="0.45">
      <c r="A517" t="s">
        <v>602</v>
      </c>
    </row>
    <row r="518" spans="1:1" x14ac:dyDescent="0.45">
      <c r="A518" t="s">
        <v>603</v>
      </c>
    </row>
    <row r="519" spans="1:1" x14ac:dyDescent="0.45">
      <c r="A519" t="s">
        <v>604</v>
      </c>
    </row>
    <row r="520" spans="1:1" x14ac:dyDescent="0.45">
      <c r="A520" t="s">
        <v>605</v>
      </c>
    </row>
    <row r="521" spans="1:1" x14ac:dyDescent="0.45">
      <c r="A521" t="s">
        <v>606</v>
      </c>
    </row>
    <row r="522" spans="1:1" x14ac:dyDescent="0.45">
      <c r="A522" t="s">
        <v>607</v>
      </c>
    </row>
    <row r="523" spans="1:1" x14ac:dyDescent="0.45">
      <c r="A523" t="s">
        <v>608</v>
      </c>
    </row>
    <row r="524" spans="1:1" x14ac:dyDescent="0.45">
      <c r="A524" t="s">
        <v>609</v>
      </c>
    </row>
    <row r="525" spans="1:1" x14ac:dyDescent="0.45">
      <c r="A525" t="s">
        <v>610</v>
      </c>
    </row>
    <row r="526" spans="1:1" x14ac:dyDescent="0.45">
      <c r="A526" t="s">
        <v>611</v>
      </c>
    </row>
    <row r="527" spans="1:1" x14ac:dyDescent="0.45">
      <c r="A527" t="s">
        <v>612</v>
      </c>
    </row>
    <row r="528" spans="1:1" x14ac:dyDescent="0.45">
      <c r="A528" t="s">
        <v>613</v>
      </c>
    </row>
    <row r="529" spans="1:1" x14ac:dyDescent="0.45">
      <c r="A529" t="s">
        <v>614</v>
      </c>
    </row>
    <row r="530" spans="1:1" x14ac:dyDescent="0.45">
      <c r="A530" t="s">
        <v>615</v>
      </c>
    </row>
    <row r="531" spans="1:1" x14ac:dyDescent="0.45">
      <c r="A531" t="s">
        <v>616</v>
      </c>
    </row>
    <row r="532" spans="1:1" x14ac:dyDescent="0.45">
      <c r="A532" t="s">
        <v>617</v>
      </c>
    </row>
    <row r="533" spans="1:1" x14ac:dyDescent="0.45">
      <c r="A533" t="s">
        <v>618</v>
      </c>
    </row>
    <row r="534" spans="1:1" x14ac:dyDescent="0.45">
      <c r="A534" t="s">
        <v>619</v>
      </c>
    </row>
    <row r="535" spans="1:1" x14ac:dyDescent="0.45">
      <c r="A535" t="s">
        <v>620</v>
      </c>
    </row>
    <row r="536" spans="1:1" x14ac:dyDescent="0.45">
      <c r="A536" t="s">
        <v>621</v>
      </c>
    </row>
    <row r="537" spans="1:1" x14ac:dyDescent="0.45">
      <c r="A537" t="s">
        <v>622</v>
      </c>
    </row>
    <row r="538" spans="1:1" x14ac:dyDescent="0.45">
      <c r="A538" t="s">
        <v>623</v>
      </c>
    </row>
    <row r="539" spans="1:1" x14ac:dyDescent="0.45">
      <c r="A539" t="s">
        <v>624</v>
      </c>
    </row>
    <row r="540" spans="1:1" x14ac:dyDescent="0.45">
      <c r="A540" t="s">
        <v>625</v>
      </c>
    </row>
    <row r="541" spans="1:1" x14ac:dyDescent="0.45">
      <c r="A541" t="s">
        <v>626</v>
      </c>
    </row>
    <row r="542" spans="1:1" x14ac:dyDescent="0.45">
      <c r="A542" t="s">
        <v>627</v>
      </c>
    </row>
    <row r="543" spans="1:1" x14ac:dyDescent="0.45">
      <c r="A543" t="s">
        <v>628</v>
      </c>
    </row>
    <row r="544" spans="1:1" x14ac:dyDescent="0.45">
      <c r="A544" t="s">
        <v>629</v>
      </c>
    </row>
    <row r="545" spans="1:1" x14ac:dyDescent="0.45">
      <c r="A545" t="s">
        <v>630</v>
      </c>
    </row>
    <row r="546" spans="1:1" x14ac:dyDescent="0.45">
      <c r="A546" t="s">
        <v>631</v>
      </c>
    </row>
    <row r="547" spans="1:1" x14ac:dyDescent="0.45">
      <c r="A547" t="s">
        <v>632</v>
      </c>
    </row>
    <row r="548" spans="1:1" x14ac:dyDescent="0.45">
      <c r="A548" t="s">
        <v>633</v>
      </c>
    </row>
    <row r="549" spans="1:1" x14ac:dyDescent="0.45">
      <c r="A549" t="s">
        <v>634</v>
      </c>
    </row>
    <row r="550" spans="1:1" x14ac:dyDescent="0.45">
      <c r="A550" t="s">
        <v>635</v>
      </c>
    </row>
    <row r="551" spans="1:1" x14ac:dyDescent="0.45">
      <c r="A551" t="s">
        <v>636</v>
      </c>
    </row>
    <row r="552" spans="1:1" x14ac:dyDescent="0.45">
      <c r="A552" t="s">
        <v>637</v>
      </c>
    </row>
    <row r="553" spans="1:1" x14ac:dyDescent="0.45">
      <c r="A553" t="s">
        <v>638</v>
      </c>
    </row>
    <row r="554" spans="1:1" x14ac:dyDescent="0.45">
      <c r="A554" t="s">
        <v>639</v>
      </c>
    </row>
    <row r="555" spans="1:1" x14ac:dyDescent="0.45">
      <c r="A555" t="s">
        <v>640</v>
      </c>
    </row>
    <row r="556" spans="1:1" x14ac:dyDescent="0.45">
      <c r="A556" t="s">
        <v>641</v>
      </c>
    </row>
    <row r="557" spans="1:1" x14ac:dyDescent="0.45">
      <c r="A557" t="s">
        <v>642</v>
      </c>
    </row>
    <row r="558" spans="1:1" x14ac:dyDescent="0.45">
      <c r="A558" t="s">
        <v>643</v>
      </c>
    </row>
    <row r="559" spans="1:1" x14ac:dyDescent="0.45">
      <c r="A559" t="s">
        <v>644</v>
      </c>
    </row>
    <row r="560" spans="1:1" x14ac:dyDescent="0.45">
      <c r="A560" t="s">
        <v>645</v>
      </c>
    </row>
    <row r="561" spans="1:1" x14ac:dyDescent="0.45">
      <c r="A561" t="s">
        <v>646</v>
      </c>
    </row>
    <row r="562" spans="1:1" x14ac:dyDescent="0.45">
      <c r="A562" t="s">
        <v>647</v>
      </c>
    </row>
    <row r="563" spans="1:1" x14ac:dyDescent="0.45">
      <c r="A563" t="s">
        <v>648</v>
      </c>
    </row>
    <row r="564" spans="1:1" x14ac:dyDescent="0.45">
      <c r="A564" t="s">
        <v>649</v>
      </c>
    </row>
    <row r="565" spans="1:1" x14ac:dyDescent="0.45">
      <c r="A565" t="s">
        <v>650</v>
      </c>
    </row>
    <row r="566" spans="1:1" x14ac:dyDescent="0.45">
      <c r="A566" t="s">
        <v>651</v>
      </c>
    </row>
    <row r="567" spans="1:1" x14ac:dyDescent="0.45">
      <c r="A567" t="s">
        <v>652</v>
      </c>
    </row>
    <row r="568" spans="1:1" x14ac:dyDescent="0.45">
      <c r="A568" t="s">
        <v>653</v>
      </c>
    </row>
    <row r="569" spans="1:1" x14ac:dyDescent="0.45">
      <c r="A569" t="s">
        <v>654</v>
      </c>
    </row>
    <row r="570" spans="1:1" x14ac:dyDescent="0.45">
      <c r="A570" t="s">
        <v>655</v>
      </c>
    </row>
    <row r="571" spans="1:1" x14ac:dyDescent="0.45">
      <c r="A571" t="s">
        <v>656</v>
      </c>
    </row>
    <row r="572" spans="1:1" x14ac:dyDescent="0.45">
      <c r="A572" t="s">
        <v>657</v>
      </c>
    </row>
    <row r="573" spans="1:1" x14ac:dyDescent="0.45">
      <c r="A573" t="s">
        <v>658</v>
      </c>
    </row>
    <row r="574" spans="1:1" x14ac:dyDescent="0.45">
      <c r="A574" t="s">
        <v>659</v>
      </c>
    </row>
    <row r="575" spans="1:1" x14ac:dyDescent="0.45">
      <c r="A575" t="s">
        <v>660</v>
      </c>
    </row>
    <row r="576" spans="1:1" x14ac:dyDescent="0.45">
      <c r="A576" t="s">
        <v>661</v>
      </c>
    </row>
    <row r="577" spans="1:1" x14ac:dyDescent="0.45">
      <c r="A577" t="s">
        <v>662</v>
      </c>
    </row>
    <row r="578" spans="1:1" x14ac:dyDescent="0.45">
      <c r="A578" t="s">
        <v>663</v>
      </c>
    </row>
    <row r="579" spans="1:1" x14ac:dyDescent="0.45">
      <c r="A579" t="s">
        <v>664</v>
      </c>
    </row>
    <row r="580" spans="1:1" x14ac:dyDescent="0.45">
      <c r="A580" t="s">
        <v>665</v>
      </c>
    </row>
    <row r="581" spans="1:1" x14ac:dyDescent="0.45">
      <c r="A581" t="s">
        <v>666</v>
      </c>
    </row>
    <row r="582" spans="1:1" x14ac:dyDescent="0.45">
      <c r="A582" t="s">
        <v>667</v>
      </c>
    </row>
    <row r="583" spans="1:1" x14ac:dyDescent="0.45">
      <c r="A583" t="s">
        <v>668</v>
      </c>
    </row>
    <row r="584" spans="1:1" x14ac:dyDescent="0.45">
      <c r="A584" t="s">
        <v>669</v>
      </c>
    </row>
    <row r="585" spans="1:1" x14ac:dyDescent="0.45">
      <c r="A585" t="s">
        <v>670</v>
      </c>
    </row>
    <row r="586" spans="1:1" x14ac:dyDescent="0.45">
      <c r="A586" t="s">
        <v>671</v>
      </c>
    </row>
    <row r="587" spans="1:1" x14ac:dyDescent="0.45">
      <c r="A587" t="s">
        <v>672</v>
      </c>
    </row>
    <row r="588" spans="1:1" x14ac:dyDescent="0.45">
      <c r="A588" t="s">
        <v>673</v>
      </c>
    </row>
    <row r="589" spans="1:1" x14ac:dyDescent="0.45">
      <c r="A589" t="s">
        <v>674</v>
      </c>
    </row>
    <row r="590" spans="1:1" x14ac:dyDescent="0.45">
      <c r="A590" t="s">
        <v>675</v>
      </c>
    </row>
    <row r="591" spans="1:1" x14ac:dyDescent="0.45">
      <c r="A591" t="s">
        <v>676</v>
      </c>
    </row>
    <row r="592" spans="1:1" x14ac:dyDescent="0.45">
      <c r="A592" t="s">
        <v>677</v>
      </c>
    </row>
    <row r="593" spans="1:1" x14ac:dyDescent="0.45">
      <c r="A593" t="s">
        <v>678</v>
      </c>
    </row>
    <row r="594" spans="1:1" x14ac:dyDescent="0.45">
      <c r="A594" t="s">
        <v>679</v>
      </c>
    </row>
    <row r="595" spans="1:1" x14ac:dyDescent="0.45">
      <c r="A595" t="s">
        <v>680</v>
      </c>
    </row>
    <row r="596" spans="1:1" x14ac:dyDescent="0.45">
      <c r="A596" t="s">
        <v>681</v>
      </c>
    </row>
    <row r="597" spans="1:1" x14ac:dyDescent="0.45">
      <c r="A597" t="s">
        <v>682</v>
      </c>
    </row>
    <row r="598" spans="1:1" x14ac:dyDescent="0.45">
      <c r="A598" t="s">
        <v>683</v>
      </c>
    </row>
    <row r="599" spans="1:1" x14ac:dyDescent="0.45">
      <c r="A599" t="s">
        <v>684</v>
      </c>
    </row>
    <row r="600" spans="1:1" x14ac:dyDescent="0.45">
      <c r="A600" t="s">
        <v>685</v>
      </c>
    </row>
    <row r="601" spans="1:1" x14ac:dyDescent="0.45">
      <c r="A601" t="s">
        <v>686</v>
      </c>
    </row>
    <row r="602" spans="1:1" x14ac:dyDescent="0.45">
      <c r="A602" t="s">
        <v>687</v>
      </c>
    </row>
    <row r="603" spans="1:1" x14ac:dyDescent="0.45">
      <c r="A603" t="s">
        <v>688</v>
      </c>
    </row>
    <row r="604" spans="1:1" x14ac:dyDescent="0.45">
      <c r="A604" t="s">
        <v>689</v>
      </c>
    </row>
    <row r="605" spans="1:1" x14ac:dyDescent="0.45">
      <c r="A605" t="s">
        <v>690</v>
      </c>
    </row>
    <row r="606" spans="1:1" x14ac:dyDescent="0.45">
      <c r="A606" t="s">
        <v>691</v>
      </c>
    </row>
    <row r="607" spans="1:1" x14ac:dyDescent="0.45">
      <c r="A607" t="s">
        <v>692</v>
      </c>
    </row>
    <row r="608" spans="1:1" x14ac:dyDescent="0.45">
      <c r="A608" t="s">
        <v>693</v>
      </c>
    </row>
    <row r="609" spans="1:1" x14ac:dyDescent="0.45">
      <c r="A609" t="s">
        <v>694</v>
      </c>
    </row>
    <row r="610" spans="1:1" x14ac:dyDescent="0.45">
      <c r="A610" t="s">
        <v>695</v>
      </c>
    </row>
    <row r="611" spans="1:1" x14ac:dyDescent="0.45">
      <c r="A611" t="s">
        <v>696</v>
      </c>
    </row>
    <row r="612" spans="1:1" x14ac:dyDescent="0.45">
      <c r="A612" t="s">
        <v>697</v>
      </c>
    </row>
    <row r="613" spans="1:1" x14ac:dyDescent="0.45">
      <c r="A613" t="s">
        <v>698</v>
      </c>
    </row>
    <row r="614" spans="1:1" x14ac:dyDescent="0.45">
      <c r="A614" t="s">
        <v>699</v>
      </c>
    </row>
    <row r="615" spans="1:1" x14ac:dyDescent="0.45">
      <c r="A615" t="s">
        <v>700</v>
      </c>
    </row>
    <row r="616" spans="1:1" x14ac:dyDescent="0.45">
      <c r="A616" t="s">
        <v>701</v>
      </c>
    </row>
    <row r="617" spans="1:1" x14ac:dyDescent="0.45">
      <c r="A617" t="s">
        <v>702</v>
      </c>
    </row>
    <row r="618" spans="1:1" x14ac:dyDescent="0.45">
      <c r="A618" t="s">
        <v>703</v>
      </c>
    </row>
    <row r="619" spans="1:1" x14ac:dyDescent="0.45">
      <c r="A619" t="s">
        <v>704</v>
      </c>
    </row>
    <row r="620" spans="1:1" x14ac:dyDescent="0.45">
      <c r="A620" t="s">
        <v>705</v>
      </c>
    </row>
    <row r="621" spans="1:1" x14ac:dyDescent="0.45">
      <c r="A621" t="s">
        <v>706</v>
      </c>
    </row>
    <row r="622" spans="1:1" x14ac:dyDescent="0.45">
      <c r="A622" t="s">
        <v>707</v>
      </c>
    </row>
    <row r="623" spans="1:1" x14ac:dyDescent="0.45">
      <c r="A623" t="s">
        <v>708</v>
      </c>
    </row>
    <row r="624" spans="1:1" x14ac:dyDescent="0.45">
      <c r="A624" t="s">
        <v>709</v>
      </c>
    </row>
    <row r="625" spans="1:1" x14ac:dyDescent="0.45">
      <c r="A625" t="s">
        <v>710</v>
      </c>
    </row>
    <row r="626" spans="1:1" x14ac:dyDescent="0.45">
      <c r="A626" t="s">
        <v>711</v>
      </c>
    </row>
    <row r="627" spans="1:1" x14ac:dyDescent="0.45">
      <c r="A627" t="s">
        <v>712</v>
      </c>
    </row>
    <row r="628" spans="1:1" x14ac:dyDescent="0.45">
      <c r="A628" t="s">
        <v>713</v>
      </c>
    </row>
    <row r="629" spans="1:1" x14ac:dyDescent="0.45">
      <c r="A629" t="s">
        <v>714</v>
      </c>
    </row>
    <row r="630" spans="1:1" x14ac:dyDescent="0.45">
      <c r="A630" t="s">
        <v>715</v>
      </c>
    </row>
    <row r="631" spans="1:1" x14ac:dyDescent="0.45">
      <c r="A631" t="s">
        <v>716</v>
      </c>
    </row>
    <row r="632" spans="1:1" x14ac:dyDescent="0.45">
      <c r="A632" t="s">
        <v>717</v>
      </c>
    </row>
    <row r="633" spans="1:1" x14ac:dyDescent="0.45">
      <c r="A633" t="s">
        <v>718</v>
      </c>
    </row>
    <row r="634" spans="1:1" x14ac:dyDescent="0.45">
      <c r="A634" t="s">
        <v>719</v>
      </c>
    </row>
    <row r="635" spans="1:1" x14ac:dyDescent="0.45">
      <c r="A635" t="s">
        <v>720</v>
      </c>
    </row>
    <row r="636" spans="1:1" x14ac:dyDescent="0.45">
      <c r="A636" t="s">
        <v>721</v>
      </c>
    </row>
    <row r="637" spans="1:1" x14ac:dyDescent="0.45">
      <c r="A637" t="s">
        <v>722</v>
      </c>
    </row>
    <row r="638" spans="1:1" x14ac:dyDescent="0.45">
      <c r="A638" t="s">
        <v>723</v>
      </c>
    </row>
    <row r="639" spans="1:1" x14ac:dyDescent="0.45">
      <c r="A639" t="s">
        <v>724</v>
      </c>
    </row>
    <row r="640" spans="1:1" x14ac:dyDescent="0.45">
      <c r="A640" t="s">
        <v>725</v>
      </c>
    </row>
    <row r="641" spans="1:1" x14ac:dyDescent="0.45">
      <c r="A641" t="s">
        <v>726</v>
      </c>
    </row>
    <row r="642" spans="1:1" x14ac:dyDescent="0.45">
      <c r="A642" t="s">
        <v>727</v>
      </c>
    </row>
    <row r="643" spans="1:1" x14ac:dyDescent="0.45">
      <c r="A643" t="s">
        <v>728</v>
      </c>
    </row>
    <row r="644" spans="1:1" x14ac:dyDescent="0.45">
      <c r="A644" t="s">
        <v>729</v>
      </c>
    </row>
    <row r="645" spans="1:1" x14ac:dyDescent="0.45">
      <c r="A645" t="s">
        <v>730</v>
      </c>
    </row>
    <row r="646" spans="1:1" x14ac:dyDescent="0.45">
      <c r="A646" t="s">
        <v>731</v>
      </c>
    </row>
    <row r="647" spans="1:1" x14ac:dyDescent="0.45">
      <c r="A647" t="s">
        <v>732</v>
      </c>
    </row>
    <row r="648" spans="1:1" x14ac:dyDescent="0.45">
      <c r="A648" t="s">
        <v>733</v>
      </c>
    </row>
    <row r="649" spans="1:1" x14ac:dyDescent="0.45">
      <c r="A649" t="s">
        <v>734</v>
      </c>
    </row>
    <row r="650" spans="1:1" x14ac:dyDescent="0.45">
      <c r="A650" t="s">
        <v>735</v>
      </c>
    </row>
    <row r="651" spans="1:1" x14ac:dyDescent="0.45">
      <c r="A651" t="s">
        <v>736</v>
      </c>
    </row>
    <row r="652" spans="1:1" x14ac:dyDescent="0.45">
      <c r="A652" t="s">
        <v>737</v>
      </c>
    </row>
    <row r="653" spans="1:1" x14ac:dyDescent="0.45">
      <c r="A653" t="s">
        <v>738</v>
      </c>
    </row>
    <row r="654" spans="1:1" x14ac:dyDescent="0.45">
      <c r="A654" t="s">
        <v>739</v>
      </c>
    </row>
    <row r="655" spans="1:1" x14ac:dyDescent="0.45">
      <c r="A655" t="s">
        <v>740</v>
      </c>
    </row>
    <row r="656" spans="1:1" x14ac:dyDescent="0.45">
      <c r="A656" t="s">
        <v>741</v>
      </c>
    </row>
    <row r="657" spans="1:1" x14ac:dyDescent="0.45">
      <c r="A657" t="s">
        <v>742</v>
      </c>
    </row>
    <row r="658" spans="1:1" x14ac:dyDescent="0.45">
      <c r="A658" t="s">
        <v>743</v>
      </c>
    </row>
    <row r="659" spans="1:1" x14ac:dyDescent="0.45">
      <c r="A659" t="s">
        <v>744</v>
      </c>
    </row>
    <row r="660" spans="1:1" x14ac:dyDescent="0.45">
      <c r="A660" t="s">
        <v>745</v>
      </c>
    </row>
    <row r="661" spans="1:1" x14ac:dyDescent="0.45">
      <c r="A661" t="s">
        <v>746</v>
      </c>
    </row>
    <row r="662" spans="1:1" x14ac:dyDescent="0.45">
      <c r="A662" t="s">
        <v>747</v>
      </c>
    </row>
    <row r="663" spans="1:1" x14ac:dyDescent="0.45">
      <c r="A663" t="s">
        <v>748</v>
      </c>
    </row>
    <row r="664" spans="1:1" x14ac:dyDescent="0.45">
      <c r="A664" t="s">
        <v>749</v>
      </c>
    </row>
    <row r="665" spans="1:1" x14ac:dyDescent="0.45">
      <c r="A665" t="s">
        <v>750</v>
      </c>
    </row>
    <row r="666" spans="1:1" x14ac:dyDescent="0.45">
      <c r="A666" t="s">
        <v>751</v>
      </c>
    </row>
    <row r="667" spans="1:1" x14ac:dyDescent="0.45">
      <c r="A667" t="s">
        <v>752</v>
      </c>
    </row>
    <row r="668" spans="1:1" x14ac:dyDescent="0.45">
      <c r="A668" t="s">
        <v>753</v>
      </c>
    </row>
    <row r="669" spans="1:1" x14ac:dyDescent="0.45">
      <c r="A669" t="s">
        <v>754</v>
      </c>
    </row>
    <row r="670" spans="1:1" x14ac:dyDescent="0.45">
      <c r="A670" t="s">
        <v>755</v>
      </c>
    </row>
    <row r="671" spans="1:1" x14ac:dyDescent="0.45">
      <c r="A671" t="s">
        <v>756</v>
      </c>
    </row>
    <row r="672" spans="1:1" x14ac:dyDescent="0.45">
      <c r="A672" t="s">
        <v>757</v>
      </c>
    </row>
    <row r="673" spans="1:1" x14ac:dyDescent="0.45">
      <c r="A673" t="s">
        <v>758</v>
      </c>
    </row>
    <row r="674" spans="1:1" x14ac:dyDescent="0.45">
      <c r="A674" t="s">
        <v>759</v>
      </c>
    </row>
    <row r="675" spans="1:1" x14ac:dyDescent="0.45">
      <c r="A675" t="s">
        <v>760</v>
      </c>
    </row>
    <row r="676" spans="1:1" x14ac:dyDescent="0.45">
      <c r="A676" t="s">
        <v>761</v>
      </c>
    </row>
    <row r="677" spans="1:1" x14ac:dyDescent="0.45">
      <c r="A677" t="s">
        <v>762</v>
      </c>
    </row>
    <row r="678" spans="1:1" x14ac:dyDescent="0.45">
      <c r="A678" t="s">
        <v>763</v>
      </c>
    </row>
    <row r="679" spans="1:1" x14ac:dyDescent="0.45">
      <c r="A679" t="s">
        <v>764</v>
      </c>
    </row>
    <row r="680" spans="1:1" x14ac:dyDescent="0.45">
      <c r="A680" t="s">
        <v>765</v>
      </c>
    </row>
    <row r="681" spans="1:1" x14ac:dyDescent="0.45">
      <c r="A681" t="s">
        <v>766</v>
      </c>
    </row>
    <row r="682" spans="1:1" x14ac:dyDescent="0.45">
      <c r="A682" t="s">
        <v>767</v>
      </c>
    </row>
    <row r="683" spans="1:1" x14ac:dyDescent="0.45">
      <c r="A683" t="s">
        <v>768</v>
      </c>
    </row>
    <row r="684" spans="1:1" x14ac:dyDescent="0.45">
      <c r="A684" t="s">
        <v>769</v>
      </c>
    </row>
    <row r="685" spans="1:1" x14ac:dyDescent="0.45">
      <c r="A685" t="s">
        <v>770</v>
      </c>
    </row>
    <row r="686" spans="1:1" x14ac:dyDescent="0.45">
      <c r="A686" t="s">
        <v>771</v>
      </c>
    </row>
    <row r="687" spans="1:1" x14ac:dyDescent="0.45">
      <c r="A687" t="s">
        <v>772</v>
      </c>
    </row>
    <row r="688" spans="1:1" x14ac:dyDescent="0.45">
      <c r="A688" t="s">
        <v>773</v>
      </c>
    </row>
    <row r="689" spans="1:1" x14ac:dyDescent="0.45">
      <c r="A689" t="s">
        <v>774</v>
      </c>
    </row>
    <row r="690" spans="1:1" x14ac:dyDescent="0.45">
      <c r="A690" t="s">
        <v>775</v>
      </c>
    </row>
    <row r="691" spans="1:1" x14ac:dyDescent="0.45">
      <c r="A691" t="s">
        <v>776</v>
      </c>
    </row>
    <row r="692" spans="1:1" x14ac:dyDescent="0.45">
      <c r="A692" t="s">
        <v>777</v>
      </c>
    </row>
    <row r="693" spans="1:1" x14ac:dyDescent="0.45">
      <c r="A693" t="s">
        <v>778</v>
      </c>
    </row>
    <row r="694" spans="1:1" x14ac:dyDescent="0.45">
      <c r="A694" t="s">
        <v>779</v>
      </c>
    </row>
    <row r="695" spans="1:1" x14ac:dyDescent="0.45">
      <c r="A695" t="s">
        <v>780</v>
      </c>
    </row>
    <row r="696" spans="1:1" x14ac:dyDescent="0.45">
      <c r="A696" t="s">
        <v>781</v>
      </c>
    </row>
    <row r="697" spans="1:1" x14ac:dyDescent="0.45">
      <c r="A697" t="s">
        <v>782</v>
      </c>
    </row>
    <row r="698" spans="1:1" x14ac:dyDescent="0.45">
      <c r="A698" t="s">
        <v>783</v>
      </c>
    </row>
    <row r="699" spans="1:1" x14ac:dyDescent="0.45">
      <c r="A699" t="s">
        <v>784</v>
      </c>
    </row>
    <row r="700" spans="1:1" x14ac:dyDescent="0.45">
      <c r="A700" t="s">
        <v>785</v>
      </c>
    </row>
    <row r="701" spans="1:1" x14ac:dyDescent="0.45">
      <c r="A701" t="s">
        <v>786</v>
      </c>
    </row>
    <row r="702" spans="1:1" x14ac:dyDescent="0.45">
      <c r="A702" t="s">
        <v>787</v>
      </c>
    </row>
    <row r="703" spans="1:1" x14ac:dyDescent="0.45">
      <c r="A703" t="s">
        <v>788</v>
      </c>
    </row>
    <row r="704" spans="1:1" x14ac:dyDescent="0.45">
      <c r="A704" t="s">
        <v>789</v>
      </c>
    </row>
    <row r="705" spans="1:1" x14ac:dyDescent="0.45">
      <c r="A705" t="s">
        <v>790</v>
      </c>
    </row>
    <row r="706" spans="1:1" x14ac:dyDescent="0.45">
      <c r="A706" t="s">
        <v>791</v>
      </c>
    </row>
    <row r="707" spans="1:1" x14ac:dyDescent="0.45">
      <c r="A707" t="s">
        <v>792</v>
      </c>
    </row>
    <row r="708" spans="1:1" x14ac:dyDescent="0.45">
      <c r="A708" t="s">
        <v>793</v>
      </c>
    </row>
    <row r="709" spans="1:1" x14ac:dyDescent="0.45">
      <c r="A709" t="s">
        <v>794</v>
      </c>
    </row>
    <row r="710" spans="1:1" x14ac:dyDescent="0.45">
      <c r="A710" t="s">
        <v>795</v>
      </c>
    </row>
    <row r="711" spans="1:1" x14ac:dyDescent="0.45">
      <c r="A711" t="s">
        <v>796</v>
      </c>
    </row>
    <row r="712" spans="1:1" x14ac:dyDescent="0.45">
      <c r="A712" t="s">
        <v>797</v>
      </c>
    </row>
    <row r="713" spans="1:1" x14ac:dyDescent="0.45">
      <c r="A713" t="s">
        <v>798</v>
      </c>
    </row>
    <row r="714" spans="1:1" x14ac:dyDescent="0.45">
      <c r="A714" t="s">
        <v>799</v>
      </c>
    </row>
    <row r="715" spans="1:1" x14ac:dyDescent="0.45">
      <c r="A715" t="s">
        <v>800</v>
      </c>
    </row>
    <row r="716" spans="1:1" x14ac:dyDescent="0.45">
      <c r="A716" t="s">
        <v>801</v>
      </c>
    </row>
    <row r="717" spans="1:1" x14ac:dyDescent="0.45">
      <c r="A717" t="s">
        <v>802</v>
      </c>
    </row>
    <row r="718" spans="1:1" x14ac:dyDescent="0.45">
      <c r="A718" t="s">
        <v>803</v>
      </c>
    </row>
    <row r="719" spans="1:1" x14ac:dyDescent="0.45">
      <c r="A719" t="s">
        <v>804</v>
      </c>
    </row>
    <row r="720" spans="1:1" x14ac:dyDescent="0.45">
      <c r="A720" t="s">
        <v>805</v>
      </c>
    </row>
    <row r="721" spans="1:1" x14ac:dyDescent="0.45">
      <c r="A721" t="s">
        <v>806</v>
      </c>
    </row>
    <row r="722" spans="1:1" x14ac:dyDescent="0.45">
      <c r="A722" t="s">
        <v>807</v>
      </c>
    </row>
    <row r="723" spans="1:1" x14ac:dyDescent="0.45">
      <c r="A723" t="s">
        <v>808</v>
      </c>
    </row>
    <row r="724" spans="1:1" x14ac:dyDescent="0.45">
      <c r="A724" t="s">
        <v>809</v>
      </c>
    </row>
    <row r="725" spans="1:1" x14ac:dyDescent="0.45">
      <c r="A725" t="s">
        <v>810</v>
      </c>
    </row>
    <row r="726" spans="1:1" x14ac:dyDescent="0.45">
      <c r="A726" t="s">
        <v>811</v>
      </c>
    </row>
    <row r="727" spans="1:1" x14ac:dyDescent="0.45">
      <c r="A727" t="s">
        <v>812</v>
      </c>
    </row>
    <row r="728" spans="1:1" x14ac:dyDescent="0.45">
      <c r="A728" t="s">
        <v>813</v>
      </c>
    </row>
    <row r="729" spans="1:1" x14ac:dyDescent="0.45">
      <c r="A729" t="s">
        <v>814</v>
      </c>
    </row>
    <row r="730" spans="1:1" x14ac:dyDescent="0.45">
      <c r="A730" t="s">
        <v>815</v>
      </c>
    </row>
    <row r="731" spans="1:1" x14ac:dyDescent="0.45">
      <c r="A731" t="s">
        <v>816</v>
      </c>
    </row>
    <row r="732" spans="1:1" x14ac:dyDescent="0.45">
      <c r="A732" t="s">
        <v>817</v>
      </c>
    </row>
    <row r="733" spans="1:1" x14ac:dyDescent="0.45">
      <c r="A733" t="s">
        <v>818</v>
      </c>
    </row>
    <row r="734" spans="1:1" x14ac:dyDescent="0.45">
      <c r="A734" t="s">
        <v>819</v>
      </c>
    </row>
    <row r="735" spans="1:1" x14ac:dyDescent="0.45">
      <c r="A735" t="s">
        <v>820</v>
      </c>
    </row>
    <row r="736" spans="1:1" x14ac:dyDescent="0.45">
      <c r="A736" t="s">
        <v>821</v>
      </c>
    </row>
    <row r="737" spans="1:1" x14ac:dyDescent="0.45">
      <c r="A737" t="s">
        <v>822</v>
      </c>
    </row>
    <row r="738" spans="1:1" x14ac:dyDescent="0.45">
      <c r="A738" t="s">
        <v>823</v>
      </c>
    </row>
    <row r="739" spans="1:1" x14ac:dyDescent="0.45">
      <c r="A739" t="s">
        <v>824</v>
      </c>
    </row>
    <row r="740" spans="1:1" x14ac:dyDescent="0.45">
      <c r="A740" t="s">
        <v>825</v>
      </c>
    </row>
    <row r="741" spans="1:1" x14ac:dyDescent="0.45">
      <c r="A741" t="s">
        <v>826</v>
      </c>
    </row>
    <row r="742" spans="1:1" x14ac:dyDescent="0.45">
      <c r="A742" t="s">
        <v>827</v>
      </c>
    </row>
    <row r="743" spans="1:1" x14ac:dyDescent="0.45">
      <c r="A743" t="s">
        <v>828</v>
      </c>
    </row>
    <row r="744" spans="1:1" x14ac:dyDescent="0.45">
      <c r="A744" t="s">
        <v>829</v>
      </c>
    </row>
    <row r="745" spans="1:1" x14ac:dyDescent="0.45">
      <c r="A745" t="s">
        <v>830</v>
      </c>
    </row>
    <row r="746" spans="1:1" x14ac:dyDescent="0.45">
      <c r="A746" t="s">
        <v>831</v>
      </c>
    </row>
    <row r="747" spans="1:1" x14ac:dyDescent="0.45">
      <c r="A747" t="s">
        <v>832</v>
      </c>
    </row>
    <row r="748" spans="1:1" x14ac:dyDescent="0.45">
      <c r="A748" t="s">
        <v>833</v>
      </c>
    </row>
    <row r="749" spans="1:1" x14ac:dyDescent="0.45">
      <c r="A749" t="s">
        <v>834</v>
      </c>
    </row>
    <row r="750" spans="1:1" x14ac:dyDescent="0.45">
      <c r="A750" t="s">
        <v>835</v>
      </c>
    </row>
    <row r="751" spans="1:1" x14ac:dyDescent="0.45">
      <c r="A751" t="s">
        <v>836</v>
      </c>
    </row>
    <row r="752" spans="1:1" x14ac:dyDescent="0.45">
      <c r="A752" t="s">
        <v>837</v>
      </c>
    </row>
    <row r="753" spans="1:1" x14ac:dyDescent="0.45">
      <c r="A753" t="s">
        <v>838</v>
      </c>
    </row>
    <row r="754" spans="1:1" x14ac:dyDescent="0.45">
      <c r="A754" t="s">
        <v>839</v>
      </c>
    </row>
    <row r="755" spans="1:1" x14ac:dyDescent="0.45">
      <c r="A755" t="s">
        <v>840</v>
      </c>
    </row>
    <row r="756" spans="1:1" x14ac:dyDescent="0.45">
      <c r="A756" t="s">
        <v>841</v>
      </c>
    </row>
    <row r="757" spans="1:1" x14ac:dyDescent="0.45">
      <c r="A757" t="s">
        <v>842</v>
      </c>
    </row>
    <row r="758" spans="1:1" x14ac:dyDescent="0.45">
      <c r="A758" t="s">
        <v>843</v>
      </c>
    </row>
    <row r="759" spans="1:1" x14ac:dyDescent="0.45">
      <c r="A759" t="s">
        <v>844</v>
      </c>
    </row>
    <row r="760" spans="1:1" x14ac:dyDescent="0.45">
      <c r="A760" t="s">
        <v>845</v>
      </c>
    </row>
    <row r="761" spans="1:1" x14ac:dyDescent="0.45">
      <c r="A761" t="s">
        <v>846</v>
      </c>
    </row>
    <row r="762" spans="1:1" x14ac:dyDescent="0.45">
      <c r="A762" t="s">
        <v>847</v>
      </c>
    </row>
    <row r="763" spans="1:1" x14ac:dyDescent="0.45">
      <c r="A763" t="s">
        <v>848</v>
      </c>
    </row>
    <row r="764" spans="1:1" x14ac:dyDescent="0.45">
      <c r="A764" t="s">
        <v>849</v>
      </c>
    </row>
    <row r="765" spans="1:1" x14ac:dyDescent="0.45">
      <c r="A765" t="s">
        <v>850</v>
      </c>
    </row>
    <row r="766" spans="1:1" x14ac:dyDescent="0.45">
      <c r="A766" t="s">
        <v>851</v>
      </c>
    </row>
    <row r="767" spans="1:1" x14ac:dyDescent="0.45">
      <c r="A767" t="s">
        <v>852</v>
      </c>
    </row>
    <row r="768" spans="1:1" x14ac:dyDescent="0.45">
      <c r="A768" t="s">
        <v>853</v>
      </c>
    </row>
    <row r="769" spans="1:1" x14ac:dyDescent="0.45">
      <c r="A769" t="s">
        <v>854</v>
      </c>
    </row>
    <row r="770" spans="1:1" x14ac:dyDescent="0.45">
      <c r="A770" t="s">
        <v>855</v>
      </c>
    </row>
    <row r="771" spans="1:1" x14ac:dyDescent="0.45">
      <c r="A771" t="s">
        <v>856</v>
      </c>
    </row>
    <row r="772" spans="1:1" x14ac:dyDescent="0.45">
      <c r="A772" t="s">
        <v>857</v>
      </c>
    </row>
    <row r="773" spans="1:1" x14ac:dyDescent="0.45">
      <c r="A773" t="s">
        <v>858</v>
      </c>
    </row>
    <row r="774" spans="1:1" x14ac:dyDescent="0.45">
      <c r="A774" t="s">
        <v>859</v>
      </c>
    </row>
    <row r="775" spans="1:1" x14ac:dyDescent="0.45">
      <c r="A775" t="s">
        <v>860</v>
      </c>
    </row>
    <row r="776" spans="1:1" x14ac:dyDescent="0.45">
      <c r="A776" t="s">
        <v>861</v>
      </c>
    </row>
    <row r="777" spans="1:1" x14ac:dyDescent="0.45">
      <c r="A777" t="s">
        <v>862</v>
      </c>
    </row>
    <row r="778" spans="1:1" x14ac:dyDescent="0.45">
      <c r="A778" t="s">
        <v>863</v>
      </c>
    </row>
    <row r="779" spans="1:1" x14ac:dyDescent="0.45">
      <c r="A779" t="s">
        <v>864</v>
      </c>
    </row>
    <row r="780" spans="1:1" x14ac:dyDescent="0.45">
      <c r="A780" t="s">
        <v>865</v>
      </c>
    </row>
    <row r="781" spans="1:1" x14ac:dyDescent="0.45">
      <c r="A781" t="s">
        <v>866</v>
      </c>
    </row>
    <row r="782" spans="1:1" x14ac:dyDescent="0.45">
      <c r="A782" t="s">
        <v>867</v>
      </c>
    </row>
    <row r="783" spans="1:1" x14ac:dyDescent="0.45">
      <c r="A783" t="s">
        <v>868</v>
      </c>
    </row>
    <row r="784" spans="1:1" x14ac:dyDescent="0.45">
      <c r="A784" t="s">
        <v>869</v>
      </c>
    </row>
    <row r="785" spans="1:1" x14ac:dyDescent="0.45">
      <c r="A785" t="s">
        <v>870</v>
      </c>
    </row>
    <row r="786" spans="1:1" x14ac:dyDescent="0.45">
      <c r="A786" t="s">
        <v>871</v>
      </c>
    </row>
    <row r="787" spans="1:1" x14ac:dyDescent="0.45">
      <c r="A787" t="s">
        <v>872</v>
      </c>
    </row>
    <row r="788" spans="1:1" x14ac:dyDescent="0.45">
      <c r="A788" t="s">
        <v>873</v>
      </c>
    </row>
    <row r="789" spans="1:1" x14ac:dyDescent="0.45">
      <c r="A789" t="s">
        <v>874</v>
      </c>
    </row>
    <row r="790" spans="1:1" x14ac:dyDescent="0.45">
      <c r="A790" t="s">
        <v>875</v>
      </c>
    </row>
    <row r="791" spans="1:1" x14ac:dyDescent="0.45">
      <c r="A791" t="s">
        <v>876</v>
      </c>
    </row>
    <row r="792" spans="1:1" x14ac:dyDescent="0.45">
      <c r="A792" t="s">
        <v>877</v>
      </c>
    </row>
    <row r="793" spans="1:1" x14ac:dyDescent="0.45">
      <c r="A793" t="s">
        <v>878</v>
      </c>
    </row>
    <row r="794" spans="1:1" x14ac:dyDescent="0.45">
      <c r="A794" t="s">
        <v>879</v>
      </c>
    </row>
    <row r="795" spans="1:1" x14ac:dyDescent="0.45">
      <c r="A795" t="s">
        <v>880</v>
      </c>
    </row>
    <row r="796" spans="1:1" x14ac:dyDescent="0.45">
      <c r="A796" t="s">
        <v>881</v>
      </c>
    </row>
    <row r="797" spans="1:1" x14ac:dyDescent="0.45">
      <c r="A797" t="s">
        <v>882</v>
      </c>
    </row>
    <row r="798" spans="1:1" x14ac:dyDescent="0.45">
      <c r="A798" t="s">
        <v>883</v>
      </c>
    </row>
    <row r="799" spans="1:1" x14ac:dyDescent="0.45">
      <c r="A799" t="s">
        <v>884</v>
      </c>
    </row>
    <row r="800" spans="1:1" x14ac:dyDescent="0.45">
      <c r="A800" t="s">
        <v>885</v>
      </c>
    </row>
    <row r="801" spans="1:1" x14ac:dyDescent="0.45">
      <c r="A801" t="s">
        <v>886</v>
      </c>
    </row>
    <row r="802" spans="1:1" x14ac:dyDescent="0.45">
      <c r="A802" t="s">
        <v>887</v>
      </c>
    </row>
    <row r="803" spans="1:1" x14ac:dyDescent="0.45">
      <c r="A803" t="s">
        <v>888</v>
      </c>
    </row>
    <row r="804" spans="1:1" x14ac:dyDescent="0.45">
      <c r="A804" t="s">
        <v>889</v>
      </c>
    </row>
    <row r="805" spans="1:1" x14ac:dyDescent="0.45">
      <c r="A805" t="s">
        <v>890</v>
      </c>
    </row>
    <row r="806" spans="1:1" x14ac:dyDescent="0.45">
      <c r="A806" t="s">
        <v>891</v>
      </c>
    </row>
    <row r="807" spans="1:1" x14ac:dyDescent="0.45">
      <c r="A807" t="s">
        <v>892</v>
      </c>
    </row>
    <row r="808" spans="1:1" x14ac:dyDescent="0.45">
      <c r="A808" t="s">
        <v>893</v>
      </c>
    </row>
    <row r="809" spans="1:1" x14ac:dyDescent="0.45">
      <c r="A809" t="s">
        <v>894</v>
      </c>
    </row>
    <row r="810" spans="1:1" x14ac:dyDescent="0.45">
      <c r="A810" t="s">
        <v>895</v>
      </c>
    </row>
    <row r="811" spans="1:1" x14ac:dyDescent="0.45">
      <c r="A811" t="s">
        <v>896</v>
      </c>
    </row>
    <row r="812" spans="1:1" x14ac:dyDescent="0.45">
      <c r="A812" t="s">
        <v>897</v>
      </c>
    </row>
    <row r="813" spans="1:1" x14ac:dyDescent="0.45">
      <c r="A813" t="s">
        <v>898</v>
      </c>
    </row>
    <row r="814" spans="1:1" x14ac:dyDescent="0.45">
      <c r="A814" t="s">
        <v>899</v>
      </c>
    </row>
    <row r="815" spans="1:1" x14ac:dyDescent="0.45">
      <c r="A815" t="s">
        <v>900</v>
      </c>
    </row>
    <row r="816" spans="1:1" x14ac:dyDescent="0.45">
      <c r="A816" t="s">
        <v>901</v>
      </c>
    </row>
    <row r="817" spans="1:1" x14ac:dyDescent="0.45">
      <c r="A817" t="s">
        <v>902</v>
      </c>
    </row>
    <row r="818" spans="1:1" x14ac:dyDescent="0.45">
      <c r="A818" t="s">
        <v>903</v>
      </c>
    </row>
    <row r="819" spans="1:1" x14ac:dyDescent="0.45">
      <c r="A819" t="s">
        <v>904</v>
      </c>
    </row>
    <row r="820" spans="1:1" x14ac:dyDescent="0.45">
      <c r="A820" t="s">
        <v>905</v>
      </c>
    </row>
    <row r="821" spans="1:1" x14ac:dyDescent="0.45">
      <c r="A821" t="s">
        <v>906</v>
      </c>
    </row>
    <row r="822" spans="1:1" x14ac:dyDescent="0.45">
      <c r="A822" t="s">
        <v>907</v>
      </c>
    </row>
    <row r="823" spans="1:1" x14ac:dyDescent="0.45">
      <c r="A823" t="s">
        <v>908</v>
      </c>
    </row>
    <row r="824" spans="1:1" x14ac:dyDescent="0.45">
      <c r="A824" t="s">
        <v>909</v>
      </c>
    </row>
    <row r="825" spans="1:1" x14ac:dyDescent="0.45">
      <c r="A825" t="s">
        <v>910</v>
      </c>
    </row>
    <row r="826" spans="1:1" x14ac:dyDescent="0.45">
      <c r="A826" t="s">
        <v>911</v>
      </c>
    </row>
    <row r="827" spans="1:1" x14ac:dyDescent="0.45">
      <c r="A827" t="s">
        <v>912</v>
      </c>
    </row>
    <row r="828" spans="1:1" x14ac:dyDescent="0.45">
      <c r="A828" t="s">
        <v>913</v>
      </c>
    </row>
    <row r="829" spans="1:1" x14ac:dyDescent="0.45">
      <c r="A829" t="s">
        <v>914</v>
      </c>
    </row>
    <row r="830" spans="1:1" x14ac:dyDescent="0.45">
      <c r="A830" t="s">
        <v>915</v>
      </c>
    </row>
    <row r="831" spans="1:1" x14ac:dyDescent="0.45">
      <c r="A831" t="s">
        <v>916</v>
      </c>
    </row>
    <row r="832" spans="1:1" x14ac:dyDescent="0.45">
      <c r="A832" t="s">
        <v>917</v>
      </c>
    </row>
    <row r="833" spans="1:1" x14ac:dyDescent="0.45">
      <c r="A833" t="s">
        <v>918</v>
      </c>
    </row>
    <row r="834" spans="1:1" x14ac:dyDescent="0.45">
      <c r="A834" t="s">
        <v>919</v>
      </c>
    </row>
    <row r="835" spans="1:1" x14ac:dyDescent="0.45">
      <c r="A835" t="s">
        <v>920</v>
      </c>
    </row>
    <row r="836" spans="1:1" x14ac:dyDescent="0.45">
      <c r="A836" t="s">
        <v>921</v>
      </c>
    </row>
    <row r="837" spans="1:1" x14ac:dyDescent="0.45">
      <c r="A837" t="s">
        <v>922</v>
      </c>
    </row>
    <row r="838" spans="1:1" x14ac:dyDescent="0.45">
      <c r="A838" t="s">
        <v>923</v>
      </c>
    </row>
    <row r="839" spans="1:1" x14ac:dyDescent="0.45">
      <c r="A839" t="s">
        <v>924</v>
      </c>
    </row>
    <row r="840" spans="1:1" x14ac:dyDescent="0.45">
      <c r="A840" t="s">
        <v>925</v>
      </c>
    </row>
    <row r="841" spans="1:1" x14ac:dyDescent="0.45">
      <c r="A841" t="s">
        <v>926</v>
      </c>
    </row>
    <row r="842" spans="1:1" x14ac:dyDescent="0.45">
      <c r="A842" t="s">
        <v>927</v>
      </c>
    </row>
    <row r="843" spans="1:1" x14ac:dyDescent="0.45">
      <c r="A843" t="s">
        <v>928</v>
      </c>
    </row>
    <row r="844" spans="1:1" x14ac:dyDescent="0.45">
      <c r="A844" t="s">
        <v>929</v>
      </c>
    </row>
    <row r="845" spans="1:1" x14ac:dyDescent="0.45">
      <c r="A845" t="s">
        <v>930</v>
      </c>
    </row>
    <row r="846" spans="1:1" x14ac:dyDescent="0.45">
      <c r="A846" t="s">
        <v>931</v>
      </c>
    </row>
    <row r="847" spans="1:1" x14ac:dyDescent="0.45">
      <c r="A847" t="s">
        <v>932</v>
      </c>
    </row>
    <row r="848" spans="1:1" x14ac:dyDescent="0.45">
      <c r="A848" t="s">
        <v>933</v>
      </c>
    </row>
    <row r="849" spans="1:1" x14ac:dyDescent="0.45">
      <c r="A849" t="s">
        <v>934</v>
      </c>
    </row>
    <row r="850" spans="1:1" x14ac:dyDescent="0.45">
      <c r="A850" t="s">
        <v>935</v>
      </c>
    </row>
    <row r="851" spans="1:1" x14ac:dyDescent="0.45">
      <c r="A851" t="s">
        <v>936</v>
      </c>
    </row>
    <row r="852" spans="1:1" x14ac:dyDescent="0.45">
      <c r="A852" t="s">
        <v>937</v>
      </c>
    </row>
    <row r="853" spans="1:1" x14ac:dyDescent="0.45">
      <c r="A853" t="s">
        <v>938</v>
      </c>
    </row>
    <row r="854" spans="1:1" x14ac:dyDescent="0.45">
      <c r="A854" t="s">
        <v>939</v>
      </c>
    </row>
    <row r="855" spans="1:1" x14ac:dyDescent="0.45">
      <c r="A855" t="s">
        <v>940</v>
      </c>
    </row>
    <row r="856" spans="1:1" x14ac:dyDescent="0.45">
      <c r="A856" t="s">
        <v>941</v>
      </c>
    </row>
    <row r="857" spans="1:1" x14ac:dyDescent="0.45">
      <c r="A857" t="s">
        <v>942</v>
      </c>
    </row>
    <row r="858" spans="1:1" x14ac:dyDescent="0.45">
      <c r="A858" t="s">
        <v>943</v>
      </c>
    </row>
    <row r="859" spans="1:1" x14ac:dyDescent="0.45">
      <c r="A859" t="s">
        <v>944</v>
      </c>
    </row>
    <row r="860" spans="1:1" x14ac:dyDescent="0.45">
      <c r="A860" t="s">
        <v>945</v>
      </c>
    </row>
    <row r="861" spans="1:1" x14ac:dyDescent="0.45">
      <c r="A861" t="s">
        <v>946</v>
      </c>
    </row>
    <row r="862" spans="1:1" x14ac:dyDescent="0.45">
      <c r="A862" t="s">
        <v>947</v>
      </c>
    </row>
    <row r="863" spans="1:1" x14ac:dyDescent="0.45">
      <c r="A863" t="s">
        <v>948</v>
      </c>
    </row>
    <row r="864" spans="1:1" x14ac:dyDescent="0.45">
      <c r="A864" t="s">
        <v>949</v>
      </c>
    </row>
    <row r="865" spans="1:1" x14ac:dyDescent="0.45">
      <c r="A865" t="s">
        <v>950</v>
      </c>
    </row>
    <row r="866" spans="1:1" x14ac:dyDescent="0.45">
      <c r="A866" t="s">
        <v>951</v>
      </c>
    </row>
    <row r="867" spans="1:1" x14ac:dyDescent="0.45">
      <c r="A867" t="s">
        <v>952</v>
      </c>
    </row>
    <row r="868" spans="1:1" x14ac:dyDescent="0.45">
      <c r="A868" t="s">
        <v>953</v>
      </c>
    </row>
    <row r="869" spans="1:1" x14ac:dyDescent="0.45">
      <c r="A869" t="s">
        <v>954</v>
      </c>
    </row>
    <row r="870" spans="1:1" x14ac:dyDescent="0.45">
      <c r="A870" t="s">
        <v>955</v>
      </c>
    </row>
    <row r="871" spans="1:1" x14ac:dyDescent="0.45">
      <c r="A871" t="s">
        <v>956</v>
      </c>
    </row>
    <row r="872" spans="1:1" x14ac:dyDescent="0.45">
      <c r="A872" t="s">
        <v>957</v>
      </c>
    </row>
    <row r="873" spans="1:1" x14ac:dyDescent="0.45">
      <c r="A873" t="s">
        <v>958</v>
      </c>
    </row>
    <row r="874" spans="1:1" x14ac:dyDescent="0.45">
      <c r="A874" t="s">
        <v>959</v>
      </c>
    </row>
    <row r="875" spans="1:1" x14ac:dyDescent="0.45">
      <c r="A875" t="s">
        <v>960</v>
      </c>
    </row>
    <row r="876" spans="1:1" x14ac:dyDescent="0.45">
      <c r="A876" t="s">
        <v>961</v>
      </c>
    </row>
    <row r="877" spans="1:1" x14ac:dyDescent="0.45">
      <c r="A877" t="s">
        <v>962</v>
      </c>
    </row>
    <row r="878" spans="1:1" x14ac:dyDescent="0.45">
      <c r="A878" t="s">
        <v>963</v>
      </c>
    </row>
    <row r="879" spans="1:1" x14ac:dyDescent="0.45">
      <c r="A879" t="s">
        <v>964</v>
      </c>
    </row>
    <row r="880" spans="1:1" x14ac:dyDescent="0.45">
      <c r="A880" t="s">
        <v>965</v>
      </c>
    </row>
    <row r="881" spans="1:1" x14ac:dyDescent="0.45">
      <c r="A881" t="s">
        <v>966</v>
      </c>
    </row>
    <row r="882" spans="1:1" x14ac:dyDescent="0.45">
      <c r="A882" t="s">
        <v>967</v>
      </c>
    </row>
    <row r="883" spans="1:1" x14ac:dyDescent="0.45">
      <c r="A883" t="s">
        <v>968</v>
      </c>
    </row>
    <row r="884" spans="1:1" x14ac:dyDescent="0.45">
      <c r="A884" t="s">
        <v>969</v>
      </c>
    </row>
    <row r="885" spans="1:1" x14ac:dyDescent="0.45">
      <c r="A885" t="s">
        <v>970</v>
      </c>
    </row>
    <row r="886" spans="1:1" x14ac:dyDescent="0.45">
      <c r="A886" t="s">
        <v>971</v>
      </c>
    </row>
    <row r="887" spans="1:1" x14ac:dyDescent="0.45">
      <c r="A887" t="s">
        <v>972</v>
      </c>
    </row>
    <row r="888" spans="1:1" x14ac:dyDescent="0.45">
      <c r="A888" t="s">
        <v>973</v>
      </c>
    </row>
    <row r="889" spans="1:1" x14ac:dyDescent="0.45">
      <c r="A889" t="s">
        <v>974</v>
      </c>
    </row>
    <row r="890" spans="1:1" x14ac:dyDescent="0.45">
      <c r="A890" t="s">
        <v>975</v>
      </c>
    </row>
    <row r="891" spans="1:1" x14ac:dyDescent="0.45">
      <c r="A891" t="s">
        <v>976</v>
      </c>
    </row>
    <row r="892" spans="1:1" x14ac:dyDescent="0.45">
      <c r="A892" t="s">
        <v>977</v>
      </c>
    </row>
    <row r="893" spans="1:1" x14ac:dyDescent="0.45">
      <c r="A893" t="s">
        <v>978</v>
      </c>
    </row>
    <row r="894" spans="1:1" x14ac:dyDescent="0.45">
      <c r="A894" t="s">
        <v>979</v>
      </c>
    </row>
    <row r="895" spans="1:1" x14ac:dyDescent="0.45">
      <c r="A895" t="s">
        <v>980</v>
      </c>
    </row>
    <row r="896" spans="1:1" x14ac:dyDescent="0.45">
      <c r="A896" t="s">
        <v>981</v>
      </c>
    </row>
    <row r="897" spans="1:1" x14ac:dyDescent="0.45">
      <c r="A897" t="s">
        <v>982</v>
      </c>
    </row>
    <row r="898" spans="1:1" x14ac:dyDescent="0.45">
      <c r="A898" t="s">
        <v>983</v>
      </c>
    </row>
    <row r="899" spans="1:1" x14ac:dyDescent="0.45">
      <c r="A899" t="s">
        <v>984</v>
      </c>
    </row>
    <row r="900" spans="1:1" x14ac:dyDescent="0.45">
      <c r="A900" t="s">
        <v>985</v>
      </c>
    </row>
    <row r="901" spans="1:1" x14ac:dyDescent="0.45">
      <c r="A901" t="s">
        <v>986</v>
      </c>
    </row>
    <row r="902" spans="1:1" x14ac:dyDescent="0.45">
      <c r="A902" t="s">
        <v>987</v>
      </c>
    </row>
    <row r="903" spans="1:1" x14ac:dyDescent="0.45">
      <c r="A903" t="s">
        <v>988</v>
      </c>
    </row>
    <row r="904" spans="1:1" x14ac:dyDescent="0.45">
      <c r="A904" t="s">
        <v>989</v>
      </c>
    </row>
    <row r="905" spans="1:1" x14ac:dyDescent="0.45">
      <c r="A905" t="s">
        <v>990</v>
      </c>
    </row>
    <row r="906" spans="1:1" x14ac:dyDescent="0.45">
      <c r="A906" t="s">
        <v>991</v>
      </c>
    </row>
    <row r="907" spans="1:1" x14ac:dyDescent="0.45">
      <c r="A907" t="s">
        <v>992</v>
      </c>
    </row>
    <row r="908" spans="1:1" x14ac:dyDescent="0.45">
      <c r="A908" t="s">
        <v>993</v>
      </c>
    </row>
    <row r="909" spans="1:1" x14ac:dyDescent="0.45">
      <c r="A909" t="s">
        <v>994</v>
      </c>
    </row>
    <row r="910" spans="1:1" x14ac:dyDescent="0.45">
      <c r="A910" t="s">
        <v>995</v>
      </c>
    </row>
    <row r="911" spans="1:1" x14ac:dyDescent="0.45">
      <c r="A911" t="s">
        <v>996</v>
      </c>
    </row>
    <row r="912" spans="1:1" x14ac:dyDescent="0.45">
      <c r="A912" t="s">
        <v>997</v>
      </c>
    </row>
    <row r="913" spans="1:1" x14ac:dyDescent="0.45">
      <c r="A913" t="s">
        <v>998</v>
      </c>
    </row>
    <row r="914" spans="1:1" x14ac:dyDescent="0.45">
      <c r="A914" t="s">
        <v>999</v>
      </c>
    </row>
    <row r="915" spans="1:1" x14ac:dyDescent="0.45">
      <c r="A915" t="s">
        <v>1000</v>
      </c>
    </row>
    <row r="916" spans="1:1" x14ac:dyDescent="0.45">
      <c r="A916" t="s">
        <v>1001</v>
      </c>
    </row>
    <row r="917" spans="1:1" x14ac:dyDescent="0.45">
      <c r="A917" t="s">
        <v>1002</v>
      </c>
    </row>
    <row r="918" spans="1:1" x14ac:dyDescent="0.45">
      <c r="A918" t="s">
        <v>1003</v>
      </c>
    </row>
    <row r="919" spans="1:1" x14ac:dyDescent="0.45">
      <c r="A919" t="s">
        <v>1004</v>
      </c>
    </row>
    <row r="920" spans="1:1" x14ac:dyDescent="0.45">
      <c r="A920" t="s">
        <v>1005</v>
      </c>
    </row>
    <row r="921" spans="1:1" x14ac:dyDescent="0.45">
      <c r="A921" t="s">
        <v>1006</v>
      </c>
    </row>
    <row r="922" spans="1:1" x14ac:dyDescent="0.45">
      <c r="A922" t="s">
        <v>1007</v>
      </c>
    </row>
    <row r="923" spans="1:1" x14ac:dyDescent="0.45">
      <c r="A923" t="s">
        <v>1008</v>
      </c>
    </row>
    <row r="924" spans="1:1" x14ac:dyDescent="0.45">
      <c r="A924" t="s">
        <v>1009</v>
      </c>
    </row>
    <row r="925" spans="1:1" x14ac:dyDescent="0.45">
      <c r="A925" t="s">
        <v>1010</v>
      </c>
    </row>
    <row r="926" spans="1:1" x14ac:dyDescent="0.45">
      <c r="A926" t="s">
        <v>1011</v>
      </c>
    </row>
    <row r="927" spans="1:1" x14ac:dyDescent="0.45">
      <c r="A927" t="s">
        <v>1012</v>
      </c>
    </row>
    <row r="928" spans="1:1" x14ac:dyDescent="0.45">
      <c r="A928" t="s">
        <v>1013</v>
      </c>
    </row>
    <row r="929" spans="1:1" x14ac:dyDescent="0.45">
      <c r="A929" t="s">
        <v>1014</v>
      </c>
    </row>
    <row r="930" spans="1:1" x14ac:dyDescent="0.45">
      <c r="A930" t="s">
        <v>1015</v>
      </c>
    </row>
    <row r="931" spans="1:1" x14ac:dyDescent="0.45">
      <c r="A931" t="s">
        <v>1016</v>
      </c>
    </row>
    <row r="932" spans="1:1" x14ac:dyDescent="0.45">
      <c r="A932" t="s">
        <v>1017</v>
      </c>
    </row>
    <row r="933" spans="1:1" x14ac:dyDescent="0.45">
      <c r="A933" t="s">
        <v>1018</v>
      </c>
    </row>
    <row r="934" spans="1:1" x14ac:dyDescent="0.45">
      <c r="A934" t="s">
        <v>1019</v>
      </c>
    </row>
    <row r="935" spans="1:1" x14ac:dyDescent="0.45">
      <c r="A935" t="s">
        <v>1020</v>
      </c>
    </row>
    <row r="936" spans="1:1" x14ac:dyDescent="0.45">
      <c r="A936" t="s">
        <v>1021</v>
      </c>
    </row>
    <row r="937" spans="1:1" x14ac:dyDescent="0.45">
      <c r="A937" t="s">
        <v>1022</v>
      </c>
    </row>
    <row r="938" spans="1:1" x14ac:dyDescent="0.45">
      <c r="A938" t="s">
        <v>1023</v>
      </c>
    </row>
    <row r="939" spans="1:1" x14ac:dyDescent="0.45">
      <c r="A939" t="s">
        <v>1024</v>
      </c>
    </row>
    <row r="940" spans="1:1" x14ac:dyDescent="0.45">
      <c r="A940" t="s">
        <v>1025</v>
      </c>
    </row>
    <row r="941" spans="1:1" x14ac:dyDescent="0.45">
      <c r="A941" t="s">
        <v>1026</v>
      </c>
    </row>
    <row r="942" spans="1:1" x14ac:dyDescent="0.45">
      <c r="A942" t="s">
        <v>1027</v>
      </c>
    </row>
    <row r="943" spans="1:1" x14ac:dyDescent="0.45">
      <c r="A943" t="s">
        <v>1028</v>
      </c>
    </row>
    <row r="944" spans="1:1" x14ac:dyDescent="0.45">
      <c r="A944" t="s">
        <v>1029</v>
      </c>
    </row>
    <row r="945" spans="1:1" x14ac:dyDescent="0.45">
      <c r="A945" t="s">
        <v>1030</v>
      </c>
    </row>
    <row r="946" spans="1:1" x14ac:dyDescent="0.45">
      <c r="A946" t="s">
        <v>1031</v>
      </c>
    </row>
    <row r="947" spans="1:1" x14ac:dyDescent="0.45">
      <c r="A947" t="s">
        <v>1032</v>
      </c>
    </row>
    <row r="948" spans="1:1" x14ac:dyDescent="0.45">
      <c r="A948" t="s">
        <v>1033</v>
      </c>
    </row>
    <row r="949" spans="1:1" x14ac:dyDescent="0.45">
      <c r="A949" t="s">
        <v>1034</v>
      </c>
    </row>
    <row r="950" spans="1:1" x14ac:dyDescent="0.45">
      <c r="A950" t="s">
        <v>1035</v>
      </c>
    </row>
    <row r="951" spans="1:1" x14ac:dyDescent="0.45">
      <c r="A951" t="s">
        <v>1036</v>
      </c>
    </row>
    <row r="952" spans="1:1" x14ac:dyDescent="0.45">
      <c r="A952" t="s">
        <v>1037</v>
      </c>
    </row>
    <row r="953" spans="1:1" x14ac:dyDescent="0.45">
      <c r="A953" t="s">
        <v>1038</v>
      </c>
    </row>
    <row r="954" spans="1:1" x14ac:dyDescent="0.45">
      <c r="A954" t="s">
        <v>1039</v>
      </c>
    </row>
    <row r="955" spans="1:1" x14ac:dyDescent="0.45">
      <c r="A955" t="s">
        <v>1040</v>
      </c>
    </row>
    <row r="956" spans="1:1" x14ac:dyDescent="0.45">
      <c r="A956" t="s">
        <v>1041</v>
      </c>
    </row>
    <row r="957" spans="1:1" x14ac:dyDescent="0.45">
      <c r="A957" t="s">
        <v>1042</v>
      </c>
    </row>
    <row r="958" spans="1:1" x14ac:dyDescent="0.45">
      <c r="A958" t="s">
        <v>1043</v>
      </c>
    </row>
    <row r="959" spans="1:1" x14ac:dyDescent="0.45">
      <c r="A959" t="s">
        <v>1044</v>
      </c>
    </row>
    <row r="960" spans="1:1" x14ac:dyDescent="0.45">
      <c r="A960" t="s">
        <v>1045</v>
      </c>
    </row>
    <row r="961" spans="1:1" x14ac:dyDescent="0.45">
      <c r="A961" t="s">
        <v>1046</v>
      </c>
    </row>
    <row r="962" spans="1:1" x14ac:dyDescent="0.45">
      <c r="A962" t="s">
        <v>1047</v>
      </c>
    </row>
    <row r="963" spans="1:1" x14ac:dyDescent="0.45">
      <c r="A963" t="s">
        <v>1048</v>
      </c>
    </row>
    <row r="964" spans="1:1" x14ac:dyDescent="0.45">
      <c r="A964" t="s">
        <v>1049</v>
      </c>
    </row>
    <row r="965" spans="1:1" x14ac:dyDescent="0.45">
      <c r="A965" t="s">
        <v>1050</v>
      </c>
    </row>
    <row r="966" spans="1:1" x14ac:dyDescent="0.45">
      <c r="A966" t="s">
        <v>1051</v>
      </c>
    </row>
    <row r="967" spans="1:1" x14ac:dyDescent="0.45">
      <c r="A967" t="s">
        <v>1052</v>
      </c>
    </row>
    <row r="968" spans="1:1" x14ac:dyDescent="0.45">
      <c r="A968" t="s">
        <v>1053</v>
      </c>
    </row>
    <row r="969" spans="1:1" x14ac:dyDescent="0.45">
      <c r="A969" t="s">
        <v>1054</v>
      </c>
    </row>
    <row r="970" spans="1:1" x14ac:dyDescent="0.45">
      <c r="A970" t="s">
        <v>1055</v>
      </c>
    </row>
    <row r="971" spans="1:1" x14ac:dyDescent="0.45">
      <c r="A971" t="s">
        <v>1056</v>
      </c>
    </row>
    <row r="972" spans="1:1" x14ac:dyDescent="0.45">
      <c r="A972" t="s">
        <v>1057</v>
      </c>
    </row>
    <row r="973" spans="1:1" x14ac:dyDescent="0.45">
      <c r="A973" t="s">
        <v>1058</v>
      </c>
    </row>
    <row r="974" spans="1:1" x14ac:dyDescent="0.45">
      <c r="A974" t="s">
        <v>1059</v>
      </c>
    </row>
    <row r="975" spans="1:1" x14ac:dyDescent="0.45">
      <c r="A975" t="s">
        <v>1060</v>
      </c>
    </row>
    <row r="976" spans="1:1" x14ac:dyDescent="0.45">
      <c r="A976" t="s">
        <v>1061</v>
      </c>
    </row>
    <row r="977" spans="1:1" x14ac:dyDescent="0.45">
      <c r="A977" t="s">
        <v>1062</v>
      </c>
    </row>
    <row r="978" spans="1:1" x14ac:dyDescent="0.45">
      <c r="A978" t="s">
        <v>1063</v>
      </c>
    </row>
    <row r="979" spans="1:1" x14ac:dyDescent="0.45">
      <c r="A979" t="s">
        <v>1064</v>
      </c>
    </row>
    <row r="980" spans="1:1" x14ac:dyDescent="0.45">
      <c r="A980" t="s">
        <v>1065</v>
      </c>
    </row>
    <row r="981" spans="1:1" x14ac:dyDescent="0.45">
      <c r="A981" t="s">
        <v>1066</v>
      </c>
    </row>
    <row r="982" spans="1:1" x14ac:dyDescent="0.45">
      <c r="A982" t="s">
        <v>1067</v>
      </c>
    </row>
    <row r="983" spans="1:1" x14ac:dyDescent="0.45">
      <c r="A983" t="s">
        <v>1068</v>
      </c>
    </row>
    <row r="984" spans="1:1" x14ac:dyDescent="0.45">
      <c r="A984" t="s">
        <v>1069</v>
      </c>
    </row>
    <row r="985" spans="1:1" x14ac:dyDescent="0.45">
      <c r="A985" t="s">
        <v>1070</v>
      </c>
    </row>
    <row r="986" spans="1:1" x14ac:dyDescent="0.45">
      <c r="A986" t="s">
        <v>1071</v>
      </c>
    </row>
    <row r="987" spans="1:1" x14ac:dyDescent="0.45">
      <c r="A987" t="s">
        <v>1072</v>
      </c>
    </row>
    <row r="988" spans="1:1" x14ac:dyDescent="0.45">
      <c r="A988" t="s">
        <v>1073</v>
      </c>
    </row>
    <row r="989" spans="1:1" x14ac:dyDescent="0.45">
      <c r="A989" t="s">
        <v>1074</v>
      </c>
    </row>
    <row r="990" spans="1:1" x14ac:dyDescent="0.45">
      <c r="A990" t="s">
        <v>1075</v>
      </c>
    </row>
    <row r="991" spans="1:1" x14ac:dyDescent="0.45">
      <c r="A991" t="s">
        <v>1076</v>
      </c>
    </row>
    <row r="992" spans="1:1" x14ac:dyDescent="0.45">
      <c r="A992" t="s">
        <v>1077</v>
      </c>
    </row>
    <row r="993" spans="1:1" x14ac:dyDescent="0.45">
      <c r="A993" t="s">
        <v>1078</v>
      </c>
    </row>
    <row r="994" spans="1:1" x14ac:dyDescent="0.45">
      <c r="A994" t="s">
        <v>1079</v>
      </c>
    </row>
    <row r="995" spans="1:1" x14ac:dyDescent="0.45">
      <c r="A995" t="s">
        <v>1080</v>
      </c>
    </row>
    <row r="996" spans="1:1" x14ac:dyDescent="0.45">
      <c r="A996" t="s">
        <v>1081</v>
      </c>
    </row>
    <row r="997" spans="1:1" x14ac:dyDescent="0.45">
      <c r="A997" t="s">
        <v>1082</v>
      </c>
    </row>
    <row r="998" spans="1:1" x14ac:dyDescent="0.45">
      <c r="A998" t="s">
        <v>1083</v>
      </c>
    </row>
    <row r="999" spans="1:1" x14ac:dyDescent="0.45">
      <c r="A999" t="s">
        <v>1084</v>
      </c>
    </row>
    <row r="1000" spans="1:1" x14ac:dyDescent="0.45">
      <c r="A1000" t="s">
        <v>1085</v>
      </c>
    </row>
    <row r="1001" spans="1:1" x14ac:dyDescent="0.45">
      <c r="A1001" t="s">
        <v>1086</v>
      </c>
    </row>
    <row r="1002" spans="1:1" x14ac:dyDescent="0.45">
      <c r="A1002" t="s">
        <v>1087</v>
      </c>
    </row>
    <row r="1003" spans="1:1" x14ac:dyDescent="0.45">
      <c r="A1003" t="s">
        <v>1088</v>
      </c>
    </row>
    <row r="1004" spans="1:1" x14ac:dyDescent="0.45">
      <c r="A1004" t="s">
        <v>1089</v>
      </c>
    </row>
    <row r="1005" spans="1:1" x14ac:dyDescent="0.45">
      <c r="A1005" t="s">
        <v>1090</v>
      </c>
    </row>
    <row r="1006" spans="1:1" x14ac:dyDescent="0.45">
      <c r="A1006" t="s">
        <v>1091</v>
      </c>
    </row>
    <row r="1007" spans="1:1" x14ac:dyDescent="0.45">
      <c r="A1007" t="s">
        <v>1092</v>
      </c>
    </row>
    <row r="1008" spans="1:1" x14ac:dyDescent="0.45">
      <c r="A1008" t="s">
        <v>1093</v>
      </c>
    </row>
    <row r="1009" spans="1:1" x14ac:dyDescent="0.45">
      <c r="A1009" t="s">
        <v>1094</v>
      </c>
    </row>
    <row r="1010" spans="1:1" x14ac:dyDescent="0.45">
      <c r="A1010" t="s">
        <v>1095</v>
      </c>
    </row>
    <row r="1011" spans="1:1" x14ac:dyDescent="0.45">
      <c r="A1011" t="s">
        <v>1096</v>
      </c>
    </row>
    <row r="1012" spans="1:1" x14ac:dyDescent="0.45">
      <c r="A1012" t="s">
        <v>1097</v>
      </c>
    </row>
    <row r="1013" spans="1:1" x14ac:dyDescent="0.45">
      <c r="A1013" t="s">
        <v>1098</v>
      </c>
    </row>
    <row r="1014" spans="1:1" x14ac:dyDescent="0.45">
      <c r="A1014" t="s">
        <v>1099</v>
      </c>
    </row>
    <row r="1015" spans="1:1" x14ac:dyDescent="0.45">
      <c r="A1015" t="s">
        <v>1100</v>
      </c>
    </row>
    <row r="1016" spans="1:1" x14ac:dyDescent="0.45">
      <c r="A1016" t="s">
        <v>1101</v>
      </c>
    </row>
    <row r="1017" spans="1:1" x14ac:dyDescent="0.45">
      <c r="A1017" t="s">
        <v>1102</v>
      </c>
    </row>
    <row r="1018" spans="1:1" x14ac:dyDescent="0.45">
      <c r="A1018" t="s">
        <v>1103</v>
      </c>
    </row>
    <row r="1019" spans="1:1" x14ac:dyDescent="0.45">
      <c r="A1019" t="s">
        <v>1104</v>
      </c>
    </row>
    <row r="1020" spans="1:1" x14ac:dyDescent="0.45">
      <c r="A1020" t="s">
        <v>1105</v>
      </c>
    </row>
    <row r="1021" spans="1:1" x14ac:dyDescent="0.45">
      <c r="A1021" t="s">
        <v>1106</v>
      </c>
    </row>
    <row r="1022" spans="1:1" x14ac:dyDescent="0.45">
      <c r="A1022" t="s">
        <v>1107</v>
      </c>
    </row>
    <row r="1023" spans="1:1" x14ac:dyDescent="0.45">
      <c r="A1023" t="s">
        <v>1108</v>
      </c>
    </row>
    <row r="1024" spans="1:1" x14ac:dyDescent="0.45">
      <c r="A1024" t="s">
        <v>1109</v>
      </c>
    </row>
    <row r="1025" spans="1:1" x14ac:dyDescent="0.45">
      <c r="A1025" t="s">
        <v>1110</v>
      </c>
    </row>
    <row r="1026" spans="1:1" x14ac:dyDescent="0.45">
      <c r="A1026" t="s">
        <v>1111</v>
      </c>
    </row>
    <row r="1027" spans="1:1" x14ac:dyDescent="0.45">
      <c r="A1027" t="s">
        <v>1112</v>
      </c>
    </row>
    <row r="1028" spans="1:1" x14ac:dyDescent="0.45">
      <c r="A1028" t="s">
        <v>1113</v>
      </c>
    </row>
    <row r="1029" spans="1:1" x14ac:dyDescent="0.45">
      <c r="A1029" t="s">
        <v>1114</v>
      </c>
    </row>
    <row r="1030" spans="1:1" x14ac:dyDescent="0.45">
      <c r="A1030" t="s">
        <v>1115</v>
      </c>
    </row>
    <row r="1031" spans="1:1" x14ac:dyDescent="0.45">
      <c r="A1031" t="s">
        <v>1116</v>
      </c>
    </row>
    <row r="1032" spans="1:1" x14ac:dyDescent="0.45">
      <c r="A1032" t="s">
        <v>1117</v>
      </c>
    </row>
    <row r="1033" spans="1:1" x14ac:dyDescent="0.45">
      <c r="A1033" t="s">
        <v>1118</v>
      </c>
    </row>
    <row r="1034" spans="1:1" x14ac:dyDescent="0.45">
      <c r="A1034" t="s">
        <v>1119</v>
      </c>
    </row>
    <row r="1035" spans="1:1" x14ac:dyDescent="0.45">
      <c r="A1035" t="s">
        <v>1120</v>
      </c>
    </row>
    <row r="1036" spans="1:1" x14ac:dyDescent="0.45">
      <c r="A1036" t="s">
        <v>1121</v>
      </c>
    </row>
    <row r="1037" spans="1:1" x14ac:dyDescent="0.45">
      <c r="A1037" t="s">
        <v>1122</v>
      </c>
    </row>
    <row r="1038" spans="1:1" x14ac:dyDescent="0.45">
      <c r="A1038" t="s">
        <v>1123</v>
      </c>
    </row>
    <row r="1039" spans="1:1" x14ac:dyDescent="0.45">
      <c r="A1039" t="s">
        <v>1124</v>
      </c>
    </row>
    <row r="1040" spans="1:1" x14ac:dyDescent="0.45">
      <c r="A1040" t="s">
        <v>1125</v>
      </c>
    </row>
    <row r="1041" spans="1:1" x14ac:dyDescent="0.45">
      <c r="A1041" t="s">
        <v>1126</v>
      </c>
    </row>
    <row r="1042" spans="1:1" x14ac:dyDescent="0.45">
      <c r="A1042" t="s">
        <v>1127</v>
      </c>
    </row>
    <row r="1043" spans="1:1" x14ac:dyDescent="0.45">
      <c r="A1043" t="s">
        <v>1128</v>
      </c>
    </row>
    <row r="1044" spans="1:1" x14ac:dyDescent="0.45">
      <c r="A1044" t="s">
        <v>1129</v>
      </c>
    </row>
    <row r="1045" spans="1:1" x14ac:dyDescent="0.45">
      <c r="A1045" t="s">
        <v>1130</v>
      </c>
    </row>
    <row r="1046" spans="1:1" x14ac:dyDescent="0.45">
      <c r="A1046" t="s">
        <v>1131</v>
      </c>
    </row>
    <row r="1047" spans="1:1" x14ac:dyDescent="0.45">
      <c r="A1047" t="s">
        <v>1132</v>
      </c>
    </row>
    <row r="1048" spans="1:1" x14ac:dyDescent="0.45">
      <c r="A1048" t="s">
        <v>1133</v>
      </c>
    </row>
    <row r="1049" spans="1:1" x14ac:dyDescent="0.45">
      <c r="A1049" t="s">
        <v>1134</v>
      </c>
    </row>
    <row r="1050" spans="1:1" x14ac:dyDescent="0.45">
      <c r="A1050" t="s">
        <v>1135</v>
      </c>
    </row>
    <row r="1051" spans="1:1" x14ac:dyDescent="0.45">
      <c r="A1051" t="s">
        <v>1136</v>
      </c>
    </row>
    <row r="1052" spans="1:1" x14ac:dyDescent="0.45">
      <c r="A1052" t="s">
        <v>1137</v>
      </c>
    </row>
    <row r="1053" spans="1:1" x14ac:dyDescent="0.45">
      <c r="A1053" t="s">
        <v>1138</v>
      </c>
    </row>
    <row r="1054" spans="1:1" x14ac:dyDescent="0.45">
      <c r="A1054" t="s">
        <v>1139</v>
      </c>
    </row>
    <row r="1055" spans="1:1" x14ac:dyDescent="0.45">
      <c r="A1055" t="s">
        <v>1140</v>
      </c>
    </row>
    <row r="1056" spans="1:1" x14ac:dyDescent="0.45">
      <c r="A1056" t="s">
        <v>1141</v>
      </c>
    </row>
    <row r="1057" spans="1:1" x14ac:dyDescent="0.45">
      <c r="A1057" t="s">
        <v>1142</v>
      </c>
    </row>
    <row r="1058" spans="1:1" x14ac:dyDescent="0.45">
      <c r="A1058" t="s">
        <v>1143</v>
      </c>
    </row>
    <row r="1059" spans="1:1" x14ac:dyDescent="0.45">
      <c r="A1059" t="s">
        <v>1144</v>
      </c>
    </row>
    <row r="1060" spans="1:1" x14ac:dyDescent="0.45">
      <c r="A1060" t="s">
        <v>1145</v>
      </c>
    </row>
    <row r="1061" spans="1:1" x14ac:dyDescent="0.45">
      <c r="A1061" t="s">
        <v>1146</v>
      </c>
    </row>
    <row r="1062" spans="1:1" x14ac:dyDescent="0.45">
      <c r="A1062" t="s">
        <v>1147</v>
      </c>
    </row>
    <row r="1063" spans="1:1" x14ac:dyDescent="0.45">
      <c r="A1063" t="s">
        <v>1148</v>
      </c>
    </row>
    <row r="1064" spans="1:1" x14ac:dyDescent="0.45">
      <c r="A1064" t="s">
        <v>1149</v>
      </c>
    </row>
    <row r="1065" spans="1:1" x14ac:dyDescent="0.45">
      <c r="A1065" t="s">
        <v>1150</v>
      </c>
    </row>
    <row r="1066" spans="1:1" x14ac:dyDescent="0.45">
      <c r="A1066" t="s">
        <v>1151</v>
      </c>
    </row>
    <row r="1067" spans="1:1" x14ac:dyDescent="0.45">
      <c r="A1067" t="s">
        <v>1152</v>
      </c>
    </row>
    <row r="1068" spans="1:1" x14ac:dyDescent="0.45">
      <c r="A1068" t="s">
        <v>1153</v>
      </c>
    </row>
    <row r="1069" spans="1:1" x14ac:dyDescent="0.45">
      <c r="A1069" t="s">
        <v>1154</v>
      </c>
    </row>
    <row r="1070" spans="1:1" x14ac:dyDescent="0.45">
      <c r="A1070" t="s">
        <v>1155</v>
      </c>
    </row>
    <row r="1071" spans="1:1" x14ac:dyDescent="0.45">
      <c r="A1071" t="s">
        <v>1156</v>
      </c>
    </row>
    <row r="1072" spans="1:1" x14ac:dyDescent="0.45">
      <c r="A1072" t="s">
        <v>1157</v>
      </c>
    </row>
    <row r="1073" spans="1:1" x14ac:dyDescent="0.45">
      <c r="A1073" t="s">
        <v>1158</v>
      </c>
    </row>
    <row r="1074" spans="1:1" x14ac:dyDescent="0.45">
      <c r="A1074" t="s">
        <v>1159</v>
      </c>
    </row>
    <row r="1075" spans="1:1" x14ac:dyDescent="0.45">
      <c r="A1075" t="s">
        <v>1160</v>
      </c>
    </row>
    <row r="1076" spans="1:1" x14ac:dyDescent="0.45">
      <c r="A1076" t="s">
        <v>1161</v>
      </c>
    </row>
    <row r="1077" spans="1:1" x14ac:dyDescent="0.45">
      <c r="A1077" t="s">
        <v>1162</v>
      </c>
    </row>
    <row r="1078" spans="1:1" x14ac:dyDescent="0.45">
      <c r="A1078" t="s">
        <v>1163</v>
      </c>
    </row>
    <row r="1079" spans="1:1" x14ac:dyDescent="0.45">
      <c r="A1079" t="s">
        <v>1164</v>
      </c>
    </row>
    <row r="1080" spans="1:1" x14ac:dyDescent="0.45">
      <c r="A1080" t="s">
        <v>1165</v>
      </c>
    </row>
    <row r="1081" spans="1:1" x14ac:dyDescent="0.45">
      <c r="A1081" t="s">
        <v>1166</v>
      </c>
    </row>
    <row r="1082" spans="1:1" x14ac:dyDescent="0.45">
      <c r="A1082" t="s">
        <v>1167</v>
      </c>
    </row>
    <row r="1083" spans="1:1" x14ac:dyDescent="0.45">
      <c r="A1083" t="s">
        <v>1168</v>
      </c>
    </row>
    <row r="1084" spans="1:1" x14ac:dyDescent="0.45">
      <c r="A1084" t="s">
        <v>1169</v>
      </c>
    </row>
    <row r="1085" spans="1:1" x14ac:dyDescent="0.45">
      <c r="A1085" t="s">
        <v>1170</v>
      </c>
    </row>
    <row r="1086" spans="1:1" x14ac:dyDescent="0.45">
      <c r="A1086" t="s">
        <v>1171</v>
      </c>
    </row>
    <row r="1087" spans="1:1" x14ac:dyDescent="0.45">
      <c r="A1087" t="s">
        <v>1172</v>
      </c>
    </row>
    <row r="1088" spans="1:1" x14ac:dyDescent="0.45">
      <c r="A1088" t="s">
        <v>1173</v>
      </c>
    </row>
    <row r="1089" spans="1:1" x14ac:dyDescent="0.45">
      <c r="A1089" t="s">
        <v>1174</v>
      </c>
    </row>
    <row r="1090" spans="1:1" x14ac:dyDescent="0.45">
      <c r="A1090" t="s">
        <v>1175</v>
      </c>
    </row>
    <row r="1091" spans="1:1" x14ac:dyDescent="0.45">
      <c r="A1091" t="s">
        <v>1176</v>
      </c>
    </row>
    <row r="1092" spans="1:1" x14ac:dyDescent="0.45">
      <c r="A1092" t="s">
        <v>1177</v>
      </c>
    </row>
    <row r="1093" spans="1:1" x14ac:dyDescent="0.45">
      <c r="A1093" t="s">
        <v>1178</v>
      </c>
    </row>
    <row r="1094" spans="1:1" x14ac:dyDescent="0.45">
      <c r="A1094" t="s">
        <v>1179</v>
      </c>
    </row>
    <row r="1095" spans="1:1" x14ac:dyDescent="0.45">
      <c r="A1095" t="s">
        <v>1180</v>
      </c>
    </row>
    <row r="1096" spans="1:1" x14ac:dyDescent="0.45">
      <c r="A1096" t="s">
        <v>1181</v>
      </c>
    </row>
    <row r="1097" spans="1:1" x14ac:dyDescent="0.45">
      <c r="A1097" t="s">
        <v>1182</v>
      </c>
    </row>
    <row r="1098" spans="1:1" x14ac:dyDescent="0.45">
      <c r="A1098" t="s">
        <v>1183</v>
      </c>
    </row>
    <row r="1099" spans="1:1" x14ac:dyDescent="0.45">
      <c r="A1099" t="s">
        <v>1184</v>
      </c>
    </row>
    <row r="1100" spans="1:1" x14ac:dyDescent="0.45">
      <c r="A1100" t="s">
        <v>1185</v>
      </c>
    </row>
    <row r="1101" spans="1:1" x14ac:dyDescent="0.45">
      <c r="A1101" t="s">
        <v>1186</v>
      </c>
    </row>
    <row r="1102" spans="1:1" x14ac:dyDescent="0.45">
      <c r="A1102" t="s">
        <v>1187</v>
      </c>
    </row>
    <row r="1103" spans="1:1" x14ac:dyDescent="0.45">
      <c r="A1103" t="s">
        <v>1188</v>
      </c>
    </row>
    <row r="1104" spans="1:1" x14ac:dyDescent="0.45">
      <c r="A1104" t="s">
        <v>1189</v>
      </c>
    </row>
    <row r="1105" spans="1:1" x14ac:dyDescent="0.45">
      <c r="A1105" t="s">
        <v>1190</v>
      </c>
    </row>
    <row r="1106" spans="1:1" x14ac:dyDescent="0.45">
      <c r="A1106" t="s">
        <v>1191</v>
      </c>
    </row>
    <row r="1107" spans="1:1" x14ac:dyDescent="0.45">
      <c r="A1107" t="s">
        <v>1192</v>
      </c>
    </row>
    <row r="1108" spans="1:1" x14ac:dyDescent="0.45">
      <c r="A1108" t="s">
        <v>1193</v>
      </c>
    </row>
    <row r="1109" spans="1:1" x14ac:dyDescent="0.45">
      <c r="A1109" t="s">
        <v>1194</v>
      </c>
    </row>
    <row r="1110" spans="1:1" x14ac:dyDescent="0.45">
      <c r="A1110" t="s">
        <v>1195</v>
      </c>
    </row>
    <row r="1111" spans="1:1" x14ac:dyDescent="0.45">
      <c r="A1111" t="s">
        <v>1196</v>
      </c>
    </row>
    <row r="1112" spans="1:1" x14ac:dyDescent="0.45">
      <c r="A1112" t="s">
        <v>1197</v>
      </c>
    </row>
    <row r="1113" spans="1:1" x14ac:dyDescent="0.45">
      <c r="A1113" t="s">
        <v>1198</v>
      </c>
    </row>
    <row r="1114" spans="1:1" x14ac:dyDescent="0.45">
      <c r="A1114" t="s">
        <v>1199</v>
      </c>
    </row>
    <row r="1115" spans="1:1" x14ac:dyDescent="0.45">
      <c r="A1115" t="s">
        <v>1200</v>
      </c>
    </row>
    <row r="1116" spans="1:1" x14ac:dyDescent="0.45">
      <c r="A1116" t="s">
        <v>1201</v>
      </c>
    </row>
    <row r="1117" spans="1:1" x14ac:dyDescent="0.45">
      <c r="A1117" t="s">
        <v>1202</v>
      </c>
    </row>
    <row r="1118" spans="1:1" x14ac:dyDescent="0.45">
      <c r="A1118" t="s">
        <v>1203</v>
      </c>
    </row>
    <row r="1119" spans="1:1" x14ac:dyDescent="0.45">
      <c r="A1119" t="s">
        <v>1204</v>
      </c>
    </row>
    <row r="1120" spans="1:1" x14ac:dyDescent="0.45">
      <c r="A1120" t="s">
        <v>1205</v>
      </c>
    </row>
    <row r="1121" spans="1:1" x14ac:dyDescent="0.45">
      <c r="A1121" t="s">
        <v>1206</v>
      </c>
    </row>
    <row r="1122" spans="1:1" x14ac:dyDescent="0.45">
      <c r="A1122" t="s">
        <v>1207</v>
      </c>
    </row>
    <row r="1123" spans="1:1" x14ac:dyDescent="0.45">
      <c r="A1123" t="s">
        <v>1208</v>
      </c>
    </row>
    <row r="1124" spans="1:1" x14ac:dyDescent="0.45">
      <c r="A1124" t="s">
        <v>1209</v>
      </c>
    </row>
    <row r="1125" spans="1:1" x14ac:dyDescent="0.45">
      <c r="A1125" t="s">
        <v>1210</v>
      </c>
    </row>
    <row r="1126" spans="1:1" x14ac:dyDescent="0.45">
      <c r="A1126" t="s">
        <v>1211</v>
      </c>
    </row>
    <row r="1127" spans="1:1" x14ac:dyDescent="0.45">
      <c r="A1127" t="s">
        <v>1212</v>
      </c>
    </row>
    <row r="1128" spans="1:1" x14ac:dyDescent="0.45">
      <c r="A1128" t="s">
        <v>1213</v>
      </c>
    </row>
    <row r="1129" spans="1:1" x14ac:dyDescent="0.45">
      <c r="A1129" t="s">
        <v>1214</v>
      </c>
    </row>
    <row r="1130" spans="1:1" x14ac:dyDescent="0.45">
      <c r="A1130" t="s">
        <v>1215</v>
      </c>
    </row>
    <row r="1131" spans="1:1" x14ac:dyDescent="0.45">
      <c r="A1131" t="s">
        <v>1216</v>
      </c>
    </row>
    <row r="1132" spans="1:1" x14ac:dyDescent="0.45">
      <c r="A1132" t="s">
        <v>1217</v>
      </c>
    </row>
    <row r="1133" spans="1:1" x14ac:dyDescent="0.45">
      <c r="A1133" t="s">
        <v>1218</v>
      </c>
    </row>
    <row r="1134" spans="1:1" x14ac:dyDescent="0.45">
      <c r="A1134" t="s">
        <v>1219</v>
      </c>
    </row>
    <row r="1135" spans="1:1" x14ac:dyDescent="0.45">
      <c r="A1135" t="s">
        <v>1220</v>
      </c>
    </row>
    <row r="1136" spans="1:1" x14ac:dyDescent="0.45">
      <c r="A1136" t="s">
        <v>1221</v>
      </c>
    </row>
    <row r="1137" spans="1:1" x14ac:dyDescent="0.45">
      <c r="A1137" t="s">
        <v>1222</v>
      </c>
    </row>
    <row r="1138" spans="1:1" x14ac:dyDescent="0.45">
      <c r="A1138" t="s">
        <v>1223</v>
      </c>
    </row>
    <row r="1139" spans="1:1" x14ac:dyDescent="0.45">
      <c r="A1139" t="s">
        <v>1224</v>
      </c>
    </row>
    <row r="1140" spans="1:1" x14ac:dyDescent="0.45">
      <c r="A1140" t="s">
        <v>1225</v>
      </c>
    </row>
    <row r="1141" spans="1:1" x14ac:dyDescent="0.45">
      <c r="A1141" t="s">
        <v>1226</v>
      </c>
    </row>
    <row r="1142" spans="1:1" x14ac:dyDescent="0.45">
      <c r="A1142" t="s">
        <v>1227</v>
      </c>
    </row>
    <row r="1143" spans="1:1" x14ac:dyDescent="0.45">
      <c r="A1143" t="s">
        <v>1228</v>
      </c>
    </row>
    <row r="1144" spans="1:1" x14ac:dyDescent="0.45">
      <c r="A1144" t="s">
        <v>1229</v>
      </c>
    </row>
    <row r="1145" spans="1:1" x14ac:dyDescent="0.45">
      <c r="A1145" t="s">
        <v>1230</v>
      </c>
    </row>
    <row r="1146" spans="1:1" x14ac:dyDescent="0.45">
      <c r="A1146" t="s">
        <v>1231</v>
      </c>
    </row>
    <row r="1147" spans="1:1" x14ac:dyDescent="0.45">
      <c r="A1147" t="s">
        <v>1232</v>
      </c>
    </row>
    <row r="1148" spans="1:1" x14ac:dyDescent="0.45">
      <c r="A1148" t="s">
        <v>1233</v>
      </c>
    </row>
    <row r="1149" spans="1:1" x14ac:dyDescent="0.45">
      <c r="A1149" t="s">
        <v>1234</v>
      </c>
    </row>
    <row r="1150" spans="1:1" x14ac:dyDescent="0.45">
      <c r="A1150" t="s">
        <v>1235</v>
      </c>
    </row>
    <row r="1151" spans="1:1" x14ac:dyDescent="0.45">
      <c r="A1151" t="s">
        <v>1236</v>
      </c>
    </row>
    <row r="1152" spans="1:1" x14ac:dyDescent="0.45">
      <c r="A1152" t="s">
        <v>1237</v>
      </c>
    </row>
    <row r="1153" spans="1:1" x14ac:dyDescent="0.45">
      <c r="A1153" t="s">
        <v>1238</v>
      </c>
    </row>
    <row r="1154" spans="1:1" x14ac:dyDescent="0.45">
      <c r="A1154" t="s">
        <v>1239</v>
      </c>
    </row>
    <row r="1155" spans="1:1" x14ac:dyDescent="0.45">
      <c r="A1155" t="s">
        <v>1240</v>
      </c>
    </row>
    <row r="1156" spans="1:1" x14ac:dyDescent="0.45">
      <c r="A1156" t="s">
        <v>1241</v>
      </c>
    </row>
    <row r="1157" spans="1:1" x14ac:dyDescent="0.45">
      <c r="A1157" t="s">
        <v>1242</v>
      </c>
    </row>
    <row r="1158" spans="1:1" x14ac:dyDescent="0.45">
      <c r="A1158" t="s">
        <v>1243</v>
      </c>
    </row>
    <row r="1159" spans="1:1" x14ac:dyDescent="0.45">
      <c r="A1159" t="s">
        <v>1244</v>
      </c>
    </row>
    <row r="1160" spans="1:1" x14ac:dyDescent="0.45">
      <c r="A1160" t="s">
        <v>1245</v>
      </c>
    </row>
    <row r="1161" spans="1:1" x14ac:dyDescent="0.45">
      <c r="A1161" t="s">
        <v>1246</v>
      </c>
    </row>
    <row r="1162" spans="1:1" x14ac:dyDescent="0.45">
      <c r="A1162" t="s">
        <v>1247</v>
      </c>
    </row>
    <row r="1163" spans="1:1" x14ac:dyDescent="0.45">
      <c r="A1163" t="s">
        <v>1248</v>
      </c>
    </row>
    <row r="1164" spans="1:1" x14ac:dyDescent="0.45">
      <c r="A1164" t="s">
        <v>1249</v>
      </c>
    </row>
    <row r="1165" spans="1:1" x14ac:dyDescent="0.45">
      <c r="A1165" t="s">
        <v>1250</v>
      </c>
    </row>
    <row r="1166" spans="1:1" x14ac:dyDescent="0.45">
      <c r="A1166" t="s">
        <v>1251</v>
      </c>
    </row>
    <row r="1167" spans="1:1" x14ac:dyDescent="0.45">
      <c r="A1167" t="s">
        <v>1252</v>
      </c>
    </row>
    <row r="1168" spans="1:1" x14ac:dyDescent="0.45">
      <c r="A1168" t="s">
        <v>1253</v>
      </c>
    </row>
    <row r="1169" spans="1:1" x14ac:dyDescent="0.45">
      <c r="A1169" t="s">
        <v>1254</v>
      </c>
    </row>
    <row r="1170" spans="1:1" x14ac:dyDescent="0.45">
      <c r="A1170" t="s">
        <v>1255</v>
      </c>
    </row>
    <row r="1171" spans="1:1" x14ac:dyDescent="0.45">
      <c r="A1171" t="s">
        <v>1256</v>
      </c>
    </row>
    <row r="1172" spans="1:1" x14ac:dyDescent="0.45">
      <c r="A1172" t="s">
        <v>1257</v>
      </c>
    </row>
    <row r="1173" spans="1:1" x14ac:dyDescent="0.45">
      <c r="A1173" t="s">
        <v>1258</v>
      </c>
    </row>
    <row r="1174" spans="1:1" x14ac:dyDescent="0.45">
      <c r="A1174" t="s">
        <v>1259</v>
      </c>
    </row>
    <row r="1175" spans="1:1" x14ac:dyDescent="0.45">
      <c r="A1175" t="s">
        <v>1260</v>
      </c>
    </row>
    <row r="1176" spans="1:1" x14ac:dyDescent="0.45">
      <c r="A1176" t="s">
        <v>1261</v>
      </c>
    </row>
    <row r="1177" spans="1:1" x14ac:dyDescent="0.45">
      <c r="A1177" t="s">
        <v>1262</v>
      </c>
    </row>
    <row r="1178" spans="1:1" x14ac:dyDescent="0.45">
      <c r="A1178" t="s">
        <v>1263</v>
      </c>
    </row>
    <row r="1179" spans="1:1" x14ac:dyDescent="0.45">
      <c r="A1179" t="s">
        <v>1264</v>
      </c>
    </row>
    <row r="1180" spans="1:1" x14ac:dyDescent="0.45">
      <c r="A1180" t="s">
        <v>1265</v>
      </c>
    </row>
    <row r="1181" spans="1:1" x14ac:dyDescent="0.45">
      <c r="A1181" t="s">
        <v>1266</v>
      </c>
    </row>
    <row r="1182" spans="1:1" x14ac:dyDescent="0.45">
      <c r="A1182" t="s">
        <v>1267</v>
      </c>
    </row>
    <row r="1183" spans="1:1" x14ac:dyDescent="0.45">
      <c r="A1183" t="s">
        <v>1268</v>
      </c>
    </row>
    <row r="1184" spans="1:1" x14ac:dyDescent="0.45">
      <c r="A1184" t="s">
        <v>1269</v>
      </c>
    </row>
    <row r="1185" spans="1:1" x14ac:dyDescent="0.45">
      <c r="A1185" t="s">
        <v>1270</v>
      </c>
    </row>
    <row r="1186" spans="1:1" x14ac:dyDescent="0.45">
      <c r="A1186" t="s">
        <v>1271</v>
      </c>
    </row>
    <row r="1187" spans="1:1" x14ac:dyDescent="0.45">
      <c r="A1187" t="s">
        <v>1272</v>
      </c>
    </row>
    <row r="1188" spans="1:1" x14ac:dyDescent="0.45">
      <c r="A1188" t="s">
        <v>1273</v>
      </c>
    </row>
    <row r="1189" spans="1:1" x14ac:dyDescent="0.45">
      <c r="A1189" t="s">
        <v>1274</v>
      </c>
    </row>
    <row r="1190" spans="1:1" x14ac:dyDescent="0.45">
      <c r="A1190" t="s">
        <v>1275</v>
      </c>
    </row>
    <row r="1191" spans="1:1" x14ac:dyDescent="0.45">
      <c r="A1191" t="s">
        <v>1276</v>
      </c>
    </row>
    <row r="1192" spans="1:1" x14ac:dyDescent="0.45">
      <c r="A1192" t="s">
        <v>1277</v>
      </c>
    </row>
    <row r="1193" spans="1:1" x14ac:dyDescent="0.45">
      <c r="A1193" t="s">
        <v>1278</v>
      </c>
    </row>
    <row r="1194" spans="1:1" x14ac:dyDescent="0.45">
      <c r="A1194" t="s">
        <v>1279</v>
      </c>
    </row>
    <row r="1195" spans="1:1" x14ac:dyDescent="0.45">
      <c r="A1195" t="s">
        <v>1280</v>
      </c>
    </row>
    <row r="1196" spans="1:1" x14ac:dyDescent="0.45">
      <c r="A1196" t="s">
        <v>1281</v>
      </c>
    </row>
    <row r="1197" spans="1:1" x14ac:dyDescent="0.45">
      <c r="A1197" t="s">
        <v>1282</v>
      </c>
    </row>
    <row r="1198" spans="1:1" x14ac:dyDescent="0.45">
      <c r="A1198" t="s">
        <v>1283</v>
      </c>
    </row>
    <row r="1199" spans="1:1" x14ac:dyDescent="0.45">
      <c r="A1199" t="s">
        <v>1284</v>
      </c>
    </row>
    <row r="1200" spans="1:1" x14ac:dyDescent="0.45">
      <c r="A1200" t="s">
        <v>1285</v>
      </c>
    </row>
    <row r="1201" spans="1:1" x14ac:dyDescent="0.45">
      <c r="A1201" t="s">
        <v>1286</v>
      </c>
    </row>
    <row r="1202" spans="1:1" x14ac:dyDescent="0.45">
      <c r="A1202" t="s">
        <v>1287</v>
      </c>
    </row>
    <row r="1203" spans="1:1" x14ac:dyDescent="0.45">
      <c r="A1203" t="s">
        <v>1288</v>
      </c>
    </row>
    <row r="1204" spans="1:1" x14ac:dyDescent="0.45">
      <c r="A1204" t="s">
        <v>1289</v>
      </c>
    </row>
    <row r="1205" spans="1:1" x14ac:dyDescent="0.45">
      <c r="A1205" t="s">
        <v>1290</v>
      </c>
    </row>
    <row r="1206" spans="1:1" x14ac:dyDescent="0.45">
      <c r="A1206" t="s">
        <v>1291</v>
      </c>
    </row>
    <row r="1207" spans="1:1" x14ac:dyDescent="0.45">
      <c r="A1207" t="s">
        <v>1292</v>
      </c>
    </row>
    <row r="1208" spans="1:1" x14ac:dyDescent="0.45">
      <c r="A1208" t="s">
        <v>1293</v>
      </c>
    </row>
    <row r="1209" spans="1:1" x14ac:dyDescent="0.45">
      <c r="A1209" t="s">
        <v>1294</v>
      </c>
    </row>
    <row r="1210" spans="1:1" x14ac:dyDescent="0.45">
      <c r="A1210" t="s">
        <v>1295</v>
      </c>
    </row>
    <row r="1211" spans="1:1" x14ac:dyDescent="0.45">
      <c r="A1211" t="s">
        <v>1296</v>
      </c>
    </row>
    <row r="1212" spans="1:1" x14ac:dyDescent="0.45">
      <c r="A1212" t="s">
        <v>1297</v>
      </c>
    </row>
    <row r="1213" spans="1:1" x14ac:dyDescent="0.45">
      <c r="A1213" t="s">
        <v>1298</v>
      </c>
    </row>
    <row r="1214" spans="1:1" x14ac:dyDescent="0.45">
      <c r="A1214" t="s">
        <v>1299</v>
      </c>
    </row>
    <row r="1215" spans="1:1" x14ac:dyDescent="0.45">
      <c r="A1215" t="s">
        <v>1300</v>
      </c>
    </row>
    <row r="1216" spans="1:1" x14ac:dyDescent="0.45">
      <c r="A1216" t="s">
        <v>1301</v>
      </c>
    </row>
    <row r="1217" spans="1:1" x14ac:dyDescent="0.45">
      <c r="A1217" t="s">
        <v>1302</v>
      </c>
    </row>
    <row r="1218" spans="1:1" x14ac:dyDescent="0.45">
      <c r="A1218" t="s">
        <v>1303</v>
      </c>
    </row>
    <row r="1219" spans="1:1" x14ac:dyDescent="0.45">
      <c r="A1219" t="s">
        <v>1304</v>
      </c>
    </row>
    <row r="1220" spans="1:1" x14ac:dyDescent="0.45">
      <c r="A1220" t="s">
        <v>1305</v>
      </c>
    </row>
    <row r="1221" spans="1:1" x14ac:dyDescent="0.45">
      <c r="A1221" t="s">
        <v>1306</v>
      </c>
    </row>
    <row r="1222" spans="1:1" x14ac:dyDescent="0.45">
      <c r="A1222" t="s">
        <v>1307</v>
      </c>
    </row>
    <row r="1223" spans="1:1" x14ac:dyDescent="0.45">
      <c r="A1223" t="s">
        <v>1308</v>
      </c>
    </row>
    <row r="1224" spans="1:1" x14ac:dyDescent="0.45">
      <c r="A1224" t="s">
        <v>1309</v>
      </c>
    </row>
    <row r="1225" spans="1:1" x14ac:dyDescent="0.45">
      <c r="A1225" t="s">
        <v>1310</v>
      </c>
    </row>
    <row r="1226" spans="1:1" x14ac:dyDescent="0.45">
      <c r="A1226" t="s">
        <v>1311</v>
      </c>
    </row>
    <row r="1227" spans="1:1" x14ac:dyDescent="0.45">
      <c r="A1227" t="s">
        <v>1312</v>
      </c>
    </row>
    <row r="1228" spans="1:1" x14ac:dyDescent="0.45">
      <c r="A1228" t="s">
        <v>1313</v>
      </c>
    </row>
    <row r="1229" spans="1:1" x14ac:dyDescent="0.45">
      <c r="A1229" t="s">
        <v>1314</v>
      </c>
    </row>
    <row r="1230" spans="1:1" x14ac:dyDescent="0.45">
      <c r="A1230" t="s">
        <v>1315</v>
      </c>
    </row>
    <row r="1231" spans="1:1" x14ac:dyDescent="0.45">
      <c r="A1231" t="s">
        <v>1316</v>
      </c>
    </row>
    <row r="1232" spans="1:1" x14ac:dyDescent="0.45">
      <c r="A1232" t="s">
        <v>1317</v>
      </c>
    </row>
    <row r="1233" spans="1:1" x14ac:dyDescent="0.45">
      <c r="A1233" t="s">
        <v>1318</v>
      </c>
    </row>
    <row r="1234" spans="1:1" x14ac:dyDescent="0.45">
      <c r="A1234" t="s">
        <v>1319</v>
      </c>
    </row>
    <row r="1235" spans="1:1" x14ac:dyDescent="0.45">
      <c r="A1235" t="s">
        <v>1320</v>
      </c>
    </row>
    <row r="1236" spans="1:1" x14ac:dyDescent="0.45">
      <c r="A1236" t="s">
        <v>1321</v>
      </c>
    </row>
    <row r="1237" spans="1:1" x14ac:dyDescent="0.45">
      <c r="A1237" t="s">
        <v>1322</v>
      </c>
    </row>
    <row r="1238" spans="1:1" x14ac:dyDescent="0.45">
      <c r="A1238" t="s">
        <v>1323</v>
      </c>
    </row>
    <row r="1239" spans="1:1" x14ac:dyDescent="0.45">
      <c r="A1239" t="s">
        <v>1324</v>
      </c>
    </row>
    <row r="1240" spans="1:1" x14ac:dyDescent="0.45">
      <c r="A1240" t="s">
        <v>1325</v>
      </c>
    </row>
    <row r="1241" spans="1:1" x14ac:dyDescent="0.45">
      <c r="A1241" t="s">
        <v>1326</v>
      </c>
    </row>
    <row r="1242" spans="1:1" x14ac:dyDescent="0.45">
      <c r="A1242" t="s">
        <v>1327</v>
      </c>
    </row>
    <row r="1243" spans="1:1" x14ac:dyDescent="0.45">
      <c r="A1243" t="s">
        <v>1328</v>
      </c>
    </row>
    <row r="1244" spans="1:1" x14ac:dyDescent="0.45">
      <c r="A1244" t="s">
        <v>1329</v>
      </c>
    </row>
    <row r="1245" spans="1:1" x14ac:dyDescent="0.45">
      <c r="A1245" t="s">
        <v>1330</v>
      </c>
    </row>
    <row r="1246" spans="1:1" x14ac:dyDescent="0.45">
      <c r="A1246" t="s">
        <v>1331</v>
      </c>
    </row>
    <row r="1247" spans="1:1" x14ac:dyDescent="0.45">
      <c r="A1247" t="s">
        <v>1332</v>
      </c>
    </row>
    <row r="1248" spans="1:1" x14ac:dyDescent="0.45">
      <c r="A1248" t="s">
        <v>1333</v>
      </c>
    </row>
    <row r="1249" spans="1:1" x14ac:dyDescent="0.45">
      <c r="A1249" t="s">
        <v>1334</v>
      </c>
    </row>
    <row r="1250" spans="1:1" x14ac:dyDescent="0.45">
      <c r="A1250" t="s">
        <v>1335</v>
      </c>
    </row>
    <row r="1251" spans="1:1" x14ac:dyDescent="0.45">
      <c r="A1251" t="s">
        <v>1336</v>
      </c>
    </row>
    <row r="1252" spans="1:1" x14ac:dyDescent="0.45">
      <c r="A1252" t="s">
        <v>1337</v>
      </c>
    </row>
    <row r="1253" spans="1:1" x14ac:dyDescent="0.45">
      <c r="A1253" t="s">
        <v>1338</v>
      </c>
    </row>
    <row r="1254" spans="1:1" x14ac:dyDescent="0.45">
      <c r="A1254" t="s">
        <v>1339</v>
      </c>
    </row>
    <row r="1255" spans="1:1" x14ac:dyDescent="0.45">
      <c r="A1255" t="s">
        <v>1340</v>
      </c>
    </row>
    <row r="1256" spans="1:1" x14ac:dyDescent="0.45">
      <c r="A1256" t="s">
        <v>1341</v>
      </c>
    </row>
    <row r="1257" spans="1:1" x14ac:dyDescent="0.45">
      <c r="A1257" t="s">
        <v>1342</v>
      </c>
    </row>
    <row r="1258" spans="1:1" x14ac:dyDescent="0.45">
      <c r="A1258" t="s">
        <v>1343</v>
      </c>
    </row>
    <row r="1259" spans="1:1" x14ac:dyDescent="0.45">
      <c r="A1259" t="s">
        <v>1344</v>
      </c>
    </row>
    <row r="1260" spans="1:1" x14ac:dyDescent="0.45">
      <c r="A1260" t="s">
        <v>1345</v>
      </c>
    </row>
    <row r="1261" spans="1:1" x14ac:dyDescent="0.45">
      <c r="A1261" t="s">
        <v>1346</v>
      </c>
    </row>
    <row r="1262" spans="1:1" x14ac:dyDescent="0.45">
      <c r="A1262" t="s">
        <v>1347</v>
      </c>
    </row>
    <row r="1263" spans="1:1" x14ac:dyDescent="0.45">
      <c r="A1263" t="s">
        <v>1348</v>
      </c>
    </row>
    <row r="1264" spans="1:1" x14ac:dyDescent="0.45">
      <c r="A1264" t="s">
        <v>1349</v>
      </c>
    </row>
    <row r="1265" spans="1:1" x14ac:dyDescent="0.45">
      <c r="A1265" t="s">
        <v>1350</v>
      </c>
    </row>
    <row r="1266" spans="1:1" x14ac:dyDescent="0.45">
      <c r="A1266" t="s">
        <v>1351</v>
      </c>
    </row>
    <row r="1267" spans="1:1" x14ac:dyDescent="0.45">
      <c r="A1267" t="s">
        <v>1352</v>
      </c>
    </row>
    <row r="1268" spans="1:1" x14ac:dyDescent="0.45">
      <c r="A1268" t="s">
        <v>1353</v>
      </c>
    </row>
    <row r="1269" spans="1:1" x14ac:dyDescent="0.45">
      <c r="A1269" t="s">
        <v>1354</v>
      </c>
    </row>
    <row r="1270" spans="1:1" x14ac:dyDescent="0.45">
      <c r="A1270" t="s">
        <v>1355</v>
      </c>
    </row>
    <row r="1271" spans="1:1" x14ac:dyDescent="0.45">
      <c r="A1271" t="s">
        <v>1356</v>
      </c>
    </row>
    <row r="1272" spans="1:1" x14ac:dyDescent="0.45">
      <c r="A1272" t="s">
        <v>1357</v>
      </c>
    </row>
    <row r="1273" spans="1:1" x14ac:dyDescent="0.45">
      <c r="A1273" t="s">
        <v>1358</v>
      </c>
    </row>
    <row r="1274" spans="1:1" x14ac:dyDescent="0.45">
      <c r="A1274" t="s">
        <v>1359</v>
      </c>
    </row>
    <row r="1275" spans="1:1" x14ac:dyDescent="0.45">
      <c r="A1275" t="s">
        <v>1360</v>
      </c>
    </row>
    <row r="1276" spans="1:1" x14ac:dyDescent="0.45">
      <c r="A1276" t="s">
        <v>1361</v>
      </c>
    </row>
    <row r="1277" spans="1:1" x14ac:dyDescent="0.45">
      <c r="A1277" t="s">
        <v>1362</v>
      </c>
    </row>
    <row r="1278" spans="1:1" x14ac:dyDescent="0.45">
      <c r="A1278" t="s">
        <v>1363</v>
      </c>
    </row>
    <row r="1279" spans="1:1" x14ac:dyDescent="0.45">
      <c r="A1279" t="s">
        <v>1364</v>
      </c>
    </row>
    <row r="1280" spans="1:1" x14ac:dyDescent="0.45">
      <c r="A1280" t="s">
        <v>1365</v>
      </c>
    </row>
    <row r="1281" spans="1:1" x14ac:dyDescent="0.45">
      <c r="A1281" t="s">
        <v>1366</v>
      </c>
    </row>
    <row r="1282" spans="1:1" x14ac:dyDescent="0.45">
      <c r="A1282" t="s">
        <v>1367</v>
      </c>
    </row>
    <row r="1283" spans="1:1" x14ac:dyDescent="0.45">
      <c r="A1283" t="s">
        <v>1368</v>
      </c>
    </row>
    <row r="1284" spans="1:1" x14ac:dyDescent="0.45">
      <c r="A1284" t="s">
        <v>1369</v>
      </c>
    </row>
    <row r="1285" spans="1:1" x14ac:dyDescent="0.45">
      <c r="A1285" t="s">
        <v>1370</v>
      </c>
    </row>
    <row r="1286" spans="1:1" x14ac:dyDescent="0.45">
      <c r="A1286" t="s">
        <v>1371</v>
      </c>
    </row>
    <row r="1287" spans="1:1" x14ac:dyDescent="0.45">
      <c r="A1287" t="s">
        <v>1372</v>
      </c>
    </row>
    <row r="1288" spans="1:1" x14ac:dyDescent="0.45">
      <c r="A1288" t="s">
        <v>1373</v>
      </c>
    </row>
    <row r="1289" spans="1:1" x14ac:dyDescent="0.45">
      <c r="A1289" t="s">
        <v>1374</v>
      </c>
    </row>
    <row r="1290" spans="1:1" x14ac:dyDescent="0.45">
      <c r="A1290" t="s">
        <v>1375</v>
      </c>
    </row>
    <row r="1291" spans="1:1" x14ac:dyDescent="0.45">
      <c r="A1291" t="s">
        <v>1376</v>
      </c>
    </row>
    <row r="1292" spans="1:1" x14ac:dyDescent="0.45">
      <c r="A1292" t="s">
        <v>1377</v>
      </c>
    </row>
    <row r="1293" spans="1:1" x14ac:dyDescent="0.45">
      <c r="A1293" t="s">
        <v>1378</v>
      </c>
    </row>
    <row r="1294" spans="1:1" x14ac:dyDescent="0.45">
      <c r="A1294" t="s">
        <v>1379</v>
      </c>
    </row>
    <row r="1295" spans="1:1" x14ac:dyDescent="0.45">
      <c r="A1295" t="s">
        <v>1380</v>
      </c>
    </row>
    <row r="1296" spans="1:1" x14ac:dyDescent="0.45">
      <c r="A1296" t="s">
        <v>1381</v>
      </c>
    </row>
    <row r="1297" spans="1:1" x14ac:dyDescent="0.45">
      <c r="A1297" t="s">
        <v>1382</v>
      </c>
    </row>
    <row r="1298" spans="1:1" x14ac:dyDescent="0.45">
      <c r="A1298" t="s">
        <v>1383</v>
      </c>
    </row>
    <row r="1299" spans="1:1" x14ac:dyDescent="0.45">
      <c r="A1299" t="s">
        <v>1384</v>
      </c>
    </row>
    <row r="1300" spans="1:1" x14ac:dyDescent="0.45">
      <c r="A1300" t="s">
        <v>1385</v>
      </c>
    </row>
    <row r="1301" spans="1:1" x14ac:dyDescent="0.45">
      <c r="A1301" t="s">
        <v>1386</v>
      </c>
    </row>
    <row r="1302" spans="1:1" x14ac:dyDescent="0.45">
      <c r="A1302" t="s">
        <v>1387</v>
      </c>
    </row>
    <row r="1303" spans="1:1" x14ac:dyDescent="0.45">
      <c r="A1303" t="s">
        <v>1388</v>
      </c>
    </row>
    <row r="1304" spans="1:1" x14ac:dyDescent="0.45">
      <c r="A1304" t="s">
        <v>1389</v>
      </c>
    </row>
    <row r="1305" spans="1:1" x14ac:dyDescent="0.45">
      <c r="A1305" t="s">
        <v>1390</v>
      </c>
    </row>
    <row r="1306" spans="1:1" x14ac:dyDescent="0.45">
      <c r="A1306" t="s">
        <v>1391</v>
      </c>
    </row>
    <row r="1307" spans="1:1" x14ac:dyDescent="0.45">
      <c r="A1307" t="s">
        <v>1392</v>
      </c>
    </row>
    <row r="1308" spans="1:1" x14ac:dyDescent="0.45">
      <c r="A1308" t="s">
        <v>1393</v>
      </c>
    </row>
    <row r="1309" spans="1:1" x14ac:dyDescent="0.45">
      <c r="A1309" t="s">
        <v>1394</v>
      </c>
    </row>
    <row r="1310" spans="1:1" x14ac:dyDescent="0.45">
      <c r="A1310" t="s">
        <v>1395</v>
      </c>
    </row>
    <row r="1311" spans="1:1" x14ac:dyDescent="0.45">
      <c r="A1311" t="s">
        <v>1396</v>
      </c>
    </row>
    <row r="1312" spans="1:1" x14ac:dyDescent="0.45">
      <c r="A1312" t="s">
        <v>1397</v>
      </c>
    </row>
    <row r="1313" spans="1:1" x14ac:dyDescent="0.45">
      <c r="A1313" t="s">
        <v>1398</v>
      </c>
    </row>
    <row r="1314" spans="1:1" x14ac:dyDescent="0.45">
      <c r="A1314" t="s">
        <v>1399</v>
      </c>
    </row>
    <row r="1315" spans="1:1" x14ac:dyDescent="0.45">
      <c r="A1315" t="s">
        <v>1400</v>
      </c>
    </row>
    <row r="1316" spans="1:1" x14ac:dyDescent="0.45">
      <c r="A1316" t="s">
        <v>1401</v>
      </c>
    </row>
    <row r="1317" spans="1:1" x14ac:dyDescent="0.45">
      <c r="A1317" t="s">
        <v>1402</v>
      </c>
    </row>
    <row r="1318" spans="1:1" x14ac:dyDescent="0.45">
      <c r="A1318" t="s">
        <v>1403</v>
      </c>
    </row>
    <row r="1319" spans="1:1" x14ac:dyDescent="0.45">
      <c r="A1319" t="s">
        <v>1404</v>
      </c>
    </row>
    <row r="1320" spans="1:1" x14ac:dyDescent="0.45">
      <c r="A1320" t="s">
        <v>1405</v>
      </c>
    </row>
    <row r="1321" spans="1:1" x14ac:dyDescent="0.45">
      <c r="A1321" t="s">
        <v>1406</v>
      </c>
    </row>
    <row r="1322" spans="1:1" x14ac:dyDescent="0.45">
      <c r="A1322" t="s">
        <v>1407</v>
      </c>
    </row>
    <row r="1323" spans="1:1" x14ac:dyDescent="0.45">
      <c r="A1323" t="s">
        <v>1408</v>
      </c>
    </row>
    <row r="1324" spans="1:1" x14ac:dyDescent="0.45">
      <c r="A1324" t="s">
        <v>1409</v>
      </c>
    </row>
    <row r="1325" spans="1:1" x14ac:dyDescent="0.45">
      <c r="A1325" t="s">
        <v>1410</v>
      </c>
    </row>
    <row r="1326" spans="1:1" x14ac:dyDescent="0.45">
      <c r="A1326" t="s">
        <v>1411</v>
      </c>
    </row>
    <row r="1327" spans="1:1" x14ac:dyDescent="0.45">
      <c r="A1327" t="s">
        <v>1412</v>
      </c>
    </row>
    <row r="1328" spans="1:1" x14ac:dyDescent="0.45">
      <c r="A1328" t="s">
        <v>1413</v>
      </c>
    </row>
    <row r="1329" spans="1:1" x14ac:dyDescent="0.45">
      <c r="A1329" t="s">
        <v>1414</v>
      </c>
    </row>
    <row r="1330" spans="1:1" x14ac:dyDescent="0.45">
      <c r="A1330" t="s">
        <v>1415</v>
      </c>
    </row>
    <row r="1331" spans="1:1" x14ac:dyDescent="0.45">
      <c r="A1331" t="s">
        <v>1416</v>
      </c>
    </row>
    <row r="1332" spans="1:1" x14ac:dyDescent="0.45">
      <c r="A1332" t="s">
        <v>1417</v>
      </c>
    </row>
    <row r="1333" spans="1:1" x14ac:dyDescent="0.45">
      <c r="A1333" t="s">
        <v>1418</v>
      </c>
    </row>
    <row r="1334" spans="1:1" x14ac:dyDescent="0.45">
      <c r="A1334" t="s">
        <v>1419</v>
      </c>
    </row>
    <row r="1335" spans="1:1" x14ac:dyDescent="0.45">
      <c r="A1335" t="s">
        <v>1420</v>
      </c>
    </row>
    <row r="1336" spans="1:1" x14ac:dyDescent="0.45">
      <c r="A1336" t="s">
        <v>1421</v>
      </c>
    </row>
    <row r="1337" spans="1:1" x14ac:dyDescent="0.45">
      <c r="A1337" t="s">
        <v>1422</v>
      </c>
    </row>
    <row r="1338" spans="1:1" x14ac:dyDescent="0.45">
      <c r="A1338" t="s">
        <v>1423</v>
      </c>
    </row>
    <row r="1339" spans="1:1" x14ac:dyDescent="0.45">
      <c r="A1339" t="s">
        <v>1424</v>
      </c>
    </row>
    <row r="1340" spans="1:1" x14ac:dyDescent="0.45">
      <c r="A1340" t="s">
        <v>1425</v>
      </c>
    </row>
    <row r="1341" spans="1:1" x14ac:dyDescent="0.45">
      <c r="A1341" t="s">
        <v>1426</v>
      </c>
    </row>
    <row r="1342" spans="1:1" x14ac:dyDescent="0.45">
      <c r="A1342" t="s">
        <v>1427</v>
      </c>
    </row>
    <row r="1343" spans="1:1" x14ac:dyDescent="0.45">
      <c r="A1343" t="s">
        <v>1428</v>
      </c>
    </row>
    <row r="1344" spans="1:1" x14ac:dyDescent="0.45">
      <c r="A1344" t="s">
        <v>1429</v>
      </c>
    </row>
    <row r="1345" spans="1:1" x14ac:dyDescent="0.45">
      <c r="A1345" t="s">
        <v>1430</v>
      </c>
    </row>
    <row r="1346" spans="1:1" x14ac:dyDescent="0.45">
      <c r="A1346" t="s">
        <v>1431</v>
      </c>
    </row>
    <row r="1347" spans="1:1" x14ac:dyDescent="0.45">
      <c r="A1347" t="s">
        <v>1432</v>
      </c>
    </row>
    <row r="1348" spans="1:1" x14ac:dyDescent="0.45">
      <c r="A1348" t="s">
        <v>1433</v>
      </c>
    </row>
    <row r="1349" spans="1:1" x14ac:dyDescent="0.45">
      <c r="A1349" t="s">
        <v>1434</v>
      </c>
    </row>
    <row r="1350" spans="1:1" x14ac:dyDescent="0.45">
      <c r="A1350" t="s">
        <v>1435</v>
      </c>
    </row>
    <row r="1351" spans="1:1" x14ac:dyDescent="0.45">
      <c r="A1351" t="s">
        <v>1436</v>
      </c>
    </row>
    <row r="1352" spans="1:1" x14ac:dyDescent="0.45">
      <c r="A1352" t="s">
        <v>1437</v>
      </c>
    </row>
    <row r="1353" spans="1:1" x14ac:dyDescent="0.45">
      <c r="A1353" t="s">
        <v>1438</v>
      </c>
    </row>
    <row r="1354" spans="1:1" x14ac:dyDescent="0.45">
      <c r="A1354" t="s">
        <v>1439</v>
      </c>
    </row>
    <row r="1355" spans="1:1" x14ac:dyDescent="0.45">
      <c r="A1355" t="s">
        <v>1440</v>
      </c>
    </row>
    <row r="1356" spans="1:1" x14ac:dyDescent="0.45">
      <c r="A1356" t="s">
        <v>1441</v>
      </c>
    </row>
    <row r="1357" spans="1:1" x14ac:dyDescent="0.45">
      <c r="A1357" t="s">
        <v>1442</v>
      </c>
    </row>
    <row r="1358" spans="1:1" x14ac:dyDescent="0.45">
      <c r="A1358" t="s">
        <v>1443</v>
      </c>
    </row>
    <row r="1359" spans="1:1" x14ac:dyDescent="0.45">
      <c r="A1359" t="s">
        <v>1444</v>
      </c>
    </row>
    <row r="1360" spans="1:1" x14ac:dyDescent="0.45">
      <c r="A1360" t="s">
        <v>1445</v>
      </c>
    </row>
    <row r="1361" spans="1:1" x14ac:dyDescent="0.45">
      <c r="A1361" t="s">
        <v>1446</v>
      </c>
    </row>
    <row r="1362" spans="1:1" x14ac:dyDescent="0.45">
      <c r="A1362" t="s">
        <v>1447</v>
      </c>
    </row>
    <row r="1363" spans="1:1" x14ac:dyDescent="0.45">
      <c r="A1363" t="s">
        <v>1448</v>
      </c>
    </row>
    <row r="1364" spans="1:1" x14ac:dyDescent="0.45">
      <c r="A1364" t="s">
        <v>1449</v>
      </c>
    </row>
    <row r="1365" spans="1:1" x14ac:dyDescent="0.45">
      <c r="A1365" t="s">
        <v>1450</v>
      </c>
    </row>
    <row r="1366" spans="1:1" x14ac:dyDescent="0.45">
      <c r="A1366" t="s">
        <v>1451</v>
      </c>
    </row>
    <row r="1367" spans="1:1" x14ac:dyDescent="0.45">
      <c r="A1367" t="s">
        <v>1452</v>
      </c>
    </row>
    <row r="1368" spans="1:1" x14ac:dyDescent="0.45">
      <c r="A1368" t="s">
        <v>1453</v>
      </c>
    </row>
    <row r="1369" spans="1:1" x14ac:dyDescent="0.45">
      <c r="A1369" t="s">
        <v>1454</v>
      </c>
    </row>
    <row r="1370" spans="1:1" x14ac:dyDescent="0.45">
      <c r="A1370" t="s">
        <v>1455</v>
      </c>
    </row>
    <row r="1371" spans="1:1" x14ac:dyDescent="0.45">
      <c r="A1371" t="s">
        <v>1456</v>
      </c>
    </row>
    <row r="1372" spans="1:1" x14ac:dyDescent="0.45">
      <c r="A1372" t="s">
        <v>1457</v>
      </c>
    </row>
    <row r="1373" spans="1:1" x14ac:dyDescent="0.45">
      <c r="A1373" t="s">
        <v>1458</v>
      </c>
    </row>
    <row r="1374" spans="1:1" x14ac:dyDescent="0.45">
      <c r="A1374" t="s">
        <v>1459</v>
      </c>
    </row>
    <row r="1375" spans="1:1" x14ac:dyDescent="0.45">
      <c r="A1375" t="s">
        <v>1460</v>
      </c>
    </row>
    <row r="1376" spans="1:1" x14ac:dyDescent="0.45">
      <c r="A1376" t="s">
        <v>1461</v>
      </c>
    </row>
    <row r="1377" spans="1:1" x14ac:dyDescent="0.45">
      <c r="A1377" t="s">
        <v>1462</v>
      </c>
    </row>
    <row r="1378" spans="1:1" x14ac:dyDescent="0.45">
      <c r="A1378" t="s">
        <v>1463</v>
      </c>
    </row>
    <row r="1379" spans="1:1" x14ac:dyDescent="0.45">
      <c r="A1379" t="s">
        <v>1464</v>
      </c>
    </row>
    <row r="1380" spans="1:1" x14ac:dyDescent="0.45">
      <c r="A1380" t="s">
        <v>1465</v>
      </c>
    </row>
    <row r="1381" spans="1:1" x14ac:dyDescent="0.45">
      <c r="A1381" t="s">
        <v>1466</v>
      </c>
    </row>
    <row r="1382" spans="1:1" x14ac:dyDescent="0.45">
      <c r="A1382" t="s">
        <v>1467</v>
      </c>
    </row>
    <row r="1383" spans="1:1" x14ac:dyDescent="0.45">
      <c r="A1383" t="s">
        <v>1468</v>
      </c>
    </row>
    <row r="1384" spans="1:1" x14ac:dyDescent="0.45">
      <c r="A1384" t="s">
        <v>1469</v>
      </c>
    </row>
    <row r="1385" spans="1:1" x14ac:dyDescent="0.45">
      <c r="A1385" t="s">
        <v>1470</v>
      </c>
    </row>
    <row r="1386" spans="1:1" x14ac:dyDescent="0.45">
      <c r="A1386" t="s">
        <v>1471</v>
      </c>
    </row>
    <row r="1387" spans="1:1" x14ac:dyDescent="0.45">
      <c r="A1387" t="s">
        <v>1472</v>
      </c>
    </row>
    <row r="1388" spans="1:1" x14ac:dyDescent="0.45">
      <c r="A1388" t="s">
        <v>1473</v>
      </c>
    </row>
    <row r="1389" spans="1:1" x14ac:dyDescent="0.45">
      <c r="A1389" t="s">
        <v>1474</v>
      </c>
    </row>
    <row r="1390" spans="1:1" x14ac:dyDescent="0.45">
      <c r="A1390" t="s">
        <v>1475</v>
      </c>
    </row>
    <row r="1391" spans="1:1" x14ac:dyDescent="0.45">
      <c r="A1391" t="s">
        <v>1476</v>
      </c>
    </row>
    <row r="1392" spans="1:1" x14ac:dyDescent="0.45">
      <c r="A1392" t="s">
        <v>1477</v>
      </c>
    </row>
    <row r="1393" spans="1:1" x14ac:dyDescent="0.45">
      <c r="A1393" t="s">
        <v>1478</v>
      </c>
    </row>
    <row r="1394" spans="1:1" x14ac:dyDescent="0.45">
      <c r="A1394" t="s">
        <v>1479</v>
      </c>
    </row>
    <row r="1395" spans="1:1" x14ac:dyDescent="0.45">
      <c r="A1395" t="s">
        <v>1480</v>
      </c>
    </row>
    <row r="1396" spans="1:1" x14ac:dyDescent="0.45">
      <c r="A1396" t="s">
        <v>1481</v>
      </c>
    </row>
    <row r="1397" spans="1:1" x14ac:dyDescent="0.45">
      <c r="A1397" t="s">
        <v>1482</v>
      </c>
    </row>
    <row r="1398" spans="1:1" x14ac:dyDescent="0.45">
      <c r="A1398" t="s">
        <v>1483</v>
      </c>
    </row>
    <row r="1399" spans="1:1" x14ac:dyDescent="0.45">
      <c r="A1399" t="s">
        <v>1484</v>
      </c>
    </row>
    <row r="1400" spans="1:1" x14ac:dyDescent="0.45">
      <c r="A1400" t="s">
        <v>1485</v>
      </c>
    </row>
    <row r="1401" spans="1:1" x14ac:dyDescent="0.45">
      <c r="A1401" t="s">
        <v>1486</v>
      </c>
    </row>
    <row r="1402" spans="1:1" x14ac:dyDescent="0.45">
      <c r="A1402" t="s">
        <v>1487</v>
      </c>
    </row>
    <row r="1403" spans="1:1" x14ac:dyDescent="0.45">
      <c r="A1403" t="s">
        <v>1488</v>
      </c>
    </row>
    <row r="1404" spans="1:1" x14ac:dyDescent="0.45">
      <c r="A1404" t="s">
        <v>1489</v>
      </c>
    </row>
    <row r="1405" spans="1:1" x14ac:dyDescent="0.45">
      <c r="A1405" t="s">
        <v>1490</v>
      </c>
    </row>
    <row r="1406" spans="1:1" x14ac:dyDescent="0.45">
      <c r="A1406" t="s">
        <v>1491</v>
      </c>
    </row>
    <row r="1407" spans="1:1" x14ac:dyDescent="0.45">
      <c r="A1407" t="s">
        <v>1492</v>
      </c>
    </row>
    <row r="1408" spans="1:1" x14ac:dyDescent="0.45">
      <c r="A1408" t="s">
        <v>1493</v>
      </c>
    </row>
    <row r="1409" spans="1:1" x14ac:dyDescent="0.45">
      <c r="A1409" t="s">
        <v>1494</v>
      </c>
    </row>
    <row r="1410" spans="1:1" x14ac:dyDescent="0.45">
      <c r="A1410" t="s">
        <v>1495</v>
      </c>
    </row>
    <row r="1411" spans="1:1" x14ac:dyDescent="0.45">
      <c r="A1411" t="s">
        <v>1496</v>
      </c>
    </row>
    <row r="1412" spans="1:1" x14ac:dyDescent="0.45">
      <c r="A1412" t="s">
        <v>1497</v>
      </c>
    </row>
    <row r="1413" spans="1:1" x14ac:dyDescent="0.45">
      <c r="A1413" t="s">
        <v>1498</v>
      </c>
    </row>
    <row r="1414" spans="1:1" x14ac:dyDescent="0.45">
      <c r="A1414" t="s">
        <v>1499</v>
      </c>
    </row>
    <row r="1415" spans="1:1" x14ac:dyDescent="0.45">
      <c r="A1415" t="s">
        <v>1500</v>
      </c>
    </row>
    <row r="1416" spans="1:1" x14ac:dyDescent="0.45">
      <c r="A1416" t="s">
        <v>1501</v>
      </c>
    </row>
    <row r="1417" spans="1:1" x14ac:dyDescent="0.45">
      <c r="A1417" t="s">
        <v>1502</v>
      </c>
    </row>
    <row r="1418" spans="1:1" x14ac:dyDescent="0.45">
      <c r="A1418" t="s">
        <v>1503</v>
      </c>
    </row>
    <row r="1419" spans="1:1" x14ac:dyDescent="0.45">
      <c r="A1419" t="s">
        <v>1504</v>
      </c>
    </row>
    <row r="1420" spans="1:1" x14ac:dyDescent="0.45">
      <c r="A1420" t="s">
        <v>1505</v>
      </c>
    </row>
    <row r="1421" spans="1:1" x14ac:dyDescent="0.45">
      <c r="A1421" t="s">
        <v>1506</v>
      </c>
    </row>
    <row r="1422" spans="1:1" x14ac:dyDescent="0.45">
      <c r="A1422" t="s">
        <v>1507</v>
      </c>
    </row>
    <row r="1423" spans="1:1" x14ac:dyDescent="0.45">
      <c r="A1423" t="s">
        <v>1508</v>
      </c>
    </row>
    <row r="1424" spans="1:1" x14ac:dyDescent="0.45">
      <c r="A1424" t="s">
        <v>1509</v>
      </c>
    </row>
    <row r="1425" spans="1:1" x14ac:dyDescent="0.45">
      <c r="A1425" t="s">
        <v>1510</v>
      </c>
    </row>
    <row r="1426" spans="1:1" x14ac:dyDescent="0.45">
      <c r="A1426" t="s">
        <v>1511</v>
      </c>
    </row>
    <row r="1427" spans="1:1" x14ac:dyDescent="0.45">
      <c r="A1427" t="s">
        <v>1512</v>
      </c>
    </row>
    <row r="1428" spans="1:1" x14ac:dyDescent="0.45">
      <c r="A1428" t="s">
        <v>1513</v>
      </c>
    </row>
    <row r="1429" spans="1:1" x14ac:dyDescent="0.45">
      <c r="A1429" t="s">
        <v>1514</v>
      </c>
    </row>
    <row r="1430" spans="1:1" x14ac:dyDescent="0.45">
      <c r="A1430" t="s">
        <v>1515</v>
      </c>
    </row>
    <row r="1431" spans="1:1" x14ac:dyDescent="0.45">
      <c r="A1431" t="s">
        <v>1516</v>
      </c>
    </row>
    <row r="1432" spans="1:1" x14ac:dyDescent="0.45">
      <c r="A1432" t="s">
        <v>1517</v>
      </c>
    </row>
    <row r="1433" spans="1:1" x14ac:dyDescent="0.45">
      <c r="A1433" t="s">
        <v>1518</v>
      </c>
    </row>
    <row r="1434" spans="1:1" x14ac:dyDescent="0.45">
      <c r="A1434" t="s">
        <v>1519</v>
      </c>
    </row>
    <row r="1435" spans="1:1" x14ac:dyDescent="0.45">
      <c r="A1435" t="s">
        <v>1520</v>
      </c>
    </row>
    <row r="1436" spans="1:1" x14ac:dyDescent="0.45">
      <c r="A1436" t="s">
        <v>1521</v>
      </c>
    </row>
    <row r="1437" spans="1:1" x14ac:dyDescent="0.45">
      <c r="A1437" t="s">
        <v>1522</v>
      </c>
    </row>
    <row r="1438" spans="1:1" x14ac:dyDescent="0.45">
      <c r="A1438" t="s">
        <v>1523</v>
      </c>
    </row>
    <row r="1439" spans="1:1" x14ac:dyDescent="0.45">
      <c r="A1439" t="s">
        <v>1524</v>
      </c>
    </row>
    <row r="1440" spans="1:1" x14ac:dyDescent="0.45">
      <c r="A1440" t="s">
        <v>1525</v>
      </c>
    </row>
    <row r="1441" spans="1:1" x14ac:dyDescent="0.45">
      <c r="A1441" t="s">
        <v>1526</v>
      </c>
    </row>
    <row r="1442" spans="1:1" x14ac:dyDescent="0.45">
      <c r="A1442" t="s">
        <v>1527</v>
      </c>
    </row>
    <row r="1443" spans="1:1" x14ac:dyDescent="0.45">
      <c r="A1443" t="s">
        <v>1528</v>
      </c>
    </row>
    <row r="1444" spans="1:1" x14ac:dyDescent="0.45">
      <c r="A1444" t="s">
        <v>1529</v>
      </c>
    </row>
    <row r="1445" spans="1:1" x14ac:dyDescent="0.45">
      <c r="A1445" t="s">
        <v>1530</v>
      </c>
    </row>
    <row r="1446" spans="1:1" x14ac:dyDescent="0.45">
      <c r="A1446" t="s">
        <v>1531</v>
      </c>
    </row>
    <row r="1447" spans="1:1" x14ac:dyDescent="0.45">
      <c r="A1447" t="s">
        <v>1532</v>
      </c>
    </row>
    <row r="1448" spans="1:1" x14ac:dyDescent="0.45">
      <c r="A1448" t="s">
        <v>1533</v>
      </c>
    </row>
    <row r="1449" spans="1:1" x14ac:dyDescent="0.45">
      <c r="A1449" t="s">
        <v>1534</v>
      </c>
    </row>
    <row r="1450" spans="1:1" x14ac:dyDescent="0.45">
      <c r="A1450" t="s">
        <v>1535</v>
      </c>
    </row>
    <row r="1451" spans="1:1" x14ac:dyDescent="0.45">
      <c r="A1451" t="s">
        <v>1536</v>
      </c>
    </row>
    <row r="1452" spans="1:1" x14ac:dyDescent="0.45">
      <c r="A1452" t="s">
        <v>1537</v>
      </c>
    </row>
    <row r="1453" spans="1:1" x14ac:dyDescent="0.45">
      <c r="A1453" t="s">
        <v>1538</v>
      </c>
    </row>
    <row r="1454" spans="1:1" x14ac:dyDescent="0.45">
      <c r="A1454" t="s">
        <v>1539</v>
      </c>
    </row>
    <row r="1455" spans="1:1" x14ac:dyDescent="0.45">
      <c r="A1455" t="s">
        <v>1540</v>
      </c>
    </row>
    <row r="1456" spans="1:1" x14ac:dyDescent="0.45">
      <c r="A1456" t="s">
        <v>1541</v>
      </c>
    </row>
    <row r="1457" spans="1:1" x14ac:dyDescent="0.45">
      <c r="A1457" t="s">
        <v>1542</v>
      </c>
    </row>
    <row r="1458" spans="1:1" x14ac:dyDescent="0.45">
      <c r="A1458" t="s">
        <v>1543</v>
      </c>
    </row>
    <row r="1459" spans="1:1" x14ac:dyDescent="0.45">
      <c r="A1459" t="s">
        <v>1544</v>
      </c>
    </row>
    <row r="1460" spans="1:1" x14ac:dyDescent="0.45">
      <c r="A1460" t="s">
        <v>1545</v>
      </c>
    </row>
    <row r="1461" spans="1:1" x14ac:dyDescent="0.45">
      <c r="A1461" t="s">
        <v>1546</v>
      </c>
    </row>
    <row r="1462" spans="1:1" x14ac:dyDescent="0.45">
      <c r="A1462" t="s">
        <v>1547</v>
      </c>
    </row>
    <row r="1463" spans="1:1" x14ac:dyDescent="0.45">
      <c r="A1463" t="s">
        <v>1548</v>
      </c>
    </row>
    <row r="1464" spans="1:1" x14ac:dyDescent="0.45">
      <c r="A1464" t="s">
        <v>1549</v>
      </c>
    </row>
    <row r="1465" spans="1:1" x14ac:dyDescent="0.45">
      <c r="A1465" t="s">
        <v>1550</v>
      </c>
    </row>
    <row r="1466" spans="1:1" x14ac:dyDescent="0.45">
      <c r="A1466" t="s">
        <v>1551</v>
      </c>
    </row>
    <row r="1467" spans="1:1" x14ac:dyDescent="0.45">
      <c r="A1467" t="s">
        <v>1552</v>
      </c>
    </row>
    <row r="1468" spans="1:1" x14ac:dyDescent="0.45">
      <c r="A1468" t="s">
        <v>1553</v>
      </c>
    </row>
    <row r="1469" spans="1:1" x14ac:dyDescent="0.45">
      <c r="A1469" t="s">
        <v>1554</v>
      </c>
    </row>
    <row r="1470" spans="1:1" x14ac:dyDescent="0.45">
      <c r="A1470" t="s">
        <v>1555</v>
      </c>
    </row>
    <row r="1471" spans="1:1" x14ac:dyDescent="0.45">
      <c r="A1471" t="s">
        <v>1556</v>
      </c>
    </row>
    <row r="1472" spans="1:1" x14ac:dyDescent="0.45">
      <c r="A1472" t="s">
        <v>1557</v>
      </c>
    </row>
    <row r="1473" spans="1:1" x14ac:dyDescent="0.45">
      <c r="A1473" t="s">
        <v>1558</v>
      </c>
    </row>
    <row r="1474" spans="1:1" x14ac:dyDescent="0.45">
      <c r="A1474" t="s">
        <v>1559</v>
      </c>
    </row>
    <row r="1475" spans="1:1" x14ac:dyDescent="0.45">
      <c r="A1475" t="s">
        <v>1560</v>
      </c>
    </row>
    <row r="1476" spans="1:1" x14ac:dyDescent="0.45">
      <c r="A1476" t="s">
        <v>1561</v>
      </c>
    </row>
    <row r="1477" spans="1:1" x14ac:dyDescent="0.45">
      <c r="A1477" t="s">
        <v>1562</v>
      </c>
    </row>
    <row r="1478" spans="1:1" x14ac:dyDescent="0.45">
      <c r="A1478" t="s">
        <v>1563</v>
      </c>
    </row>
    <row r="1479" spans="1:1" x14ac:dyDescent="0.45">
      <c r="A1479" t="s">
        <v>1564</v>
      </c>
    </row>
    <row r="1480" spans="1:1" x14ac:dyDescent="0.45">
      <c r="A1480" t="s">
        <v>1565</v>
      </c>
    </row>
    <row r="1481" spans="1:1" x14ac:dyDescent="0.45">
      <c r="A1481" t="s">
        <v>1566</v>
      </c>
    </row>
    <row r="1482" spans="1:1" x14ac:dyDescent="0.45">
      <c r="A1482" t="s">
        <v>1567</v>
      </c>
    </row>
    <row r="1483" spans="1:1" x14ac:dyDescent="0.45">
      <c r="A1483" t="s">
        <v>1568</v>
      </c>
    </row>
    <row r="1484" spans="1:1" x14ac:dyDescent="0.45">
      <c r="A1484" t="s">
        <v>1569</v>
      </c>
    </row>
    <row r="1485" spans="1:1" x14ac:dyDescent="0.45">
      <c r="A1485" t="s">
        <v>1570</v>
      </c>
    </row>
    <row r="1486" spans="1:1" x14ac:dyDescent="0.45">
      <c r="A1486" t="s">
        <v>1571</v>
      </c>
    </row>
    <row r="1487" spans="1:1" x14ac:dyDescent="0.45">
      <c r="A1487" t="s">
        <v>1572</v>
      </c>
    </row>
    <row r="1488" spans="1:1" x14ac:dyDescent="0.45">
      <c r="A1488" t="s">
        <v>1573</v>
      </c>
    </row>
    <row r="1489" spans="1:1" x14ac:dyDescent="0.45">
      <c r="A1489" t="s">
        <v>1574</v>
      </c>
    </row>
    <row r="1490" spans="1:1" x14ac:dyDescent="0.45">
      <c r="A1490" t="s">
        <v>1575</v>
      </c>
    </row>
    <row r="1491" spans="1:1" x14ac:dyDescent="0.45">
      <c r="A1491" t="s">
        <v>1576</v>
      </c>
    </row>
    <row r="1492" spans="1:1" x14ac:dyDescent="0.45">
      <c r="A1492" t="s">
        <v>1577</v>
      </c>
    </row>
    <row r="1493" spans="1:1" x14ac:dyDescent="0.45">
      <c r="A1493" t="s">
        <v>1578</v>
      </c>
    </row>
    <row r="1494" spans="1:1" x14ac:dyDescent="0.45">
      <c r="A1494" t="s">
        <v>1579</v>
      </c>
    </row>
    <row r="1495" spans="1:1" x14ac:dyDescent="0.45">
      <c r="A1495" t="s">
        <v>1580</v>
      </c>
    </row>
    <row r="1496" spans="1:1" x14ac:dyDescent="0.45">
      <c r="A1496" t="s">
        <v>1581</v>
      </c>
    </row>
    <row r="1497" spans="1:1" x14ac:dyDescent="0.45">
      <c r="A1497" t="s">
        <v>1582</v>
      </c>
    </row>
    <row r="1498" spans="1:1" x14ac:dyDescent="0.45">
      <c r="A1498" t="s">
        <v>1583</v>
      </c>
    </row>
    <row r="1499" spans="1:1" x14ac:dyDescent="0.45">
      <c r="A1499" t="s">
        <v>1584</v>
      </c>
    </row>
    <row r="1500" spans="1:1" x14ac:dyDescent="0.45">
      <c r="A1500" t="s">
        <v>1585</v>
      </c>
    </row>
    <row r="1501" spans="1:1" x14ac:dyDescent="0.45">
      <c r="A1501" t="s">
        <v>1586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501"/>
  <sheetViews>
    <sheetView zoomScaleNormal="100" workbookViewId="0">
      <selection activeCell="H9" sqref="H9"/>
    </sheetView>
  </sheetViews>
  <sheetFormatPr defaultColWidth="8.6640625" defaultRowHeight="14.25" x14ac:dyDescent="0.45"/>
  <cols>
    <col min="1" max="1" width="20" customWidth="1"/>
    <col min="2" max="2" width="16" customWidth="1"/>
    <col min="3" max="3" width="18.9296875" customWidth="1"/>
  </cols>
  <sheetData>
    <row r="1" spans="1:3" x14ac:dyDescent="0.45">
      <c r="A1" s="1" t="s">
        <v>0</v>
      </c>
      <c r="B1" s="1" t="s">
        <v>7</v>
      </c>
      <c r="C1" s="1" t="s">
        <v>9</v>
      </c>
    </row>
    <row r="2" spans="1:3" x14ac:dyDescent="0.45">
      <c r="A2" t="s">
        <v>19</v>
      </c>
    </row>
    <row r="3" spans="1:3" x14ac:dyDescent="0.45">
      <c r="A3" t="s">
        <v>26</v>
      </c>
    </row>
    <row r="4" spans="1:3" x14ac:dyDescent="0.45">
      <c r="A4" t="s">
        <v>33</v>
      </c>
    </row>
    <row r="5" spans="1:3" x14ac:dyDescent="0.45">
      <c r="A5" t="s">
        <v>40</v>
      </c>
    </row>
    <row r="6" spans="1:3" x14ac:dyDescent="0.45">
      <c r="A6" t="s">
        <v>45</v>
      </c>
    </row>
    <row r="7" spans="1:3" x14ac:dyDescent="0.45">
      <c r="A7" t="s">
        <v>49</v>
      </c>
    </row>
    <row r="8" spans="1:3" x14ac:dyDescent="0.45">
      <c r="A8" t="s">
        <v>54</v>
      </c>
    </row>
    <row r="9" spans="1:3" x14ac:dyDescent="0.45">
      <c r="A9" t="s">
        <v>59</v>
      </c>
    </row>
    <row r="10" spans="1:3" x14ac:dyDescent="0.45">
      <c r="A10" t="s">
        <v>61</v>
      </c>
    </row>
    <row r="11" spans="1:3" x14ac:dyDescent="0.45">
      <c r="A11" t="s">
        <v>65</v>
      </c>
    </row>
    <row r="12" spans="1:3" x14ac:dyDescent="0.45">
      <c r="A12" t="s">
        <v>69</v>
      </c>
    </row>
    <row r="13" spans="1:3" x14ac:dyDescent="0.45">
      <c r="A13" t="s">
        <v>72</v>
      </c>
    </row>
    <row r="14" spans="1:3" x14ac:dyDescent="0.45">
      <c r="A14" t="s">
        <v>74</v>
      </c>
    </row>
    <row r="15" spans="1:3" x14ac:dyDescent="0.45">
      <c r="A15" t="s">
        <v>77</v>
      </c>
    </row>
    <row r="16" spans="1:3" x14ac:dyDescent="0.45">
      <c r="A16" t="s">
        <v>78</v>
      </c>
    </row>
    <row r="17" spans="1:1" x14ac:dyDescent="0.45">
      <c r="A17" t="s">
        <v>79</v>
      </c>
    </row>
    <row r="18" spans="1:1" x14ac:dyDescent="0.45">
      <c r="A18" t="s">
        <v>81</v>
      </c>
    </row>
    <row r="19" spans="1:1" x14ac:dyDescent="0.45">
      <c r="A19" t="s">
        <v>82</v>
      </c>
    </row>
    <row r="20" spans="1:1" x14ac:dyDescent="0.45">
      <c r="A20" t="s">
        <v>83</v>
      </c>
    </row>
    <row r="21" spans="1:1" x14ac:dyDescent="0.45">
      <c r="A21" t="s">
        <v>84</v>
      </c>
    </row>
    <row r="22" spans="1:1" x14ac:dyDescent="0.45">
      <c r="A22" t="s">
        <v>85</v>
      </c>
    </row>
    <row r="23" spans="1:1" x14ac:dyDescent="0.45">
      <c r="A23" t="s">
        <v>86</v>
      </c>
    </row>
    <row r="24" spans="1:1" x14ac:dyDescent="0.45">
      <c r="A24" t="s">
        <v>87</v>
      </c>
    </row>
    <row r="25" spans="1:1" x14ac:dyDescent="0.45">
      <c r="A25" t="s">
        <v>88</v>
      </c>
    </row>
    <row r="26" spans="1:1" x14ac:dyDescent="0.45">
      <c r="A26" t="s">
        <v>90</v>
      </c>
    </row>
    <row r="27" spans="1:1" x14ac:dyDescent="0.45">
      <c r="A27" t="s">
        <v>93</v>
      </c>
    </row>
    <row r="28" spans="1:1" x14ac:dyDescent="0.45">
      <c r="A28" t="s">
        <v>95</v>
      </c>
    </row>
    <row r="29" spans="1:1" x14ac:dyDescent="0.45">
      <c r="A29" t="s">
        <v>96</v>
      </c>
    </row>
    <row r="30" spans="1:1" x14ac:dyDescent="0.45">
      <c r="A30" t="s">
        <v>97</v>
      </c>
    </row>
    <row r="31" spans="1:1" x14ac:dyDescent="0.45">
      <c r="A31" t="s">
        <v>98</v>
      </c>
    </row>
    <row r="32" spans="1:1" x14ac:dyDescent="0.45">
      <c r="A32" t="s">
        <v>101</v>
      </c>
    </row>
    <row r="33" spans="1:1" x14ac:dyDescent="0.45">
      <c r="A33" t="s">
        <v>102</v>
      </c>
    </row>
    <row r="34" spans="1:1" x14ac:dyDescent="0.45">
      <c r="A34" t="s">
        <v>104</v>
      </c>
    </row>
    <row r="35" spans="1:1" x14ac:dyDescent="0.45">
      <c r="A35" t="s">
        <v>106</v>
      </c>
    </row>
    <row r="36" spans="1:1" x14ac:dyDescent="0.45">
      <c r="A36" t="s">
        <v>107</v>
      </c>
    </row>
    <row r="37" spans="1:1" x14ac:dyDescent="0.45">
      <c r="A37" t="s">
        <v>109</v>
      </c>
    </row>
    <row r="38" spans="1:1" x14ac:dyDescent="0.45">
      <c r="A38" t="s">
        <v>111</v>
      </c>
    </row>
    <row r="39" spans="1:1" x14ac:dyDescent="0.45">
      <c r="A39" t="s">
        <v>112</v>
      </c>
    </row>
    <row r="40" spans="1:1" x14ac:dyDescent="0.45">
      <c r="A40" t="s">
        <v>114</v>
      </c>
    </row>
    <row r="41" spans="1:1" x14ac:dyDescent="0.45">
      <c r="A41" t="s">
        <v>115</v>
      </c>
    </row>
    <row r="42" spans="1:1" x14ac:dyDescent="0.45">
      <c r="A42" t="s">
        <v>117</v>
      </c>
    </row>
    <row r="43" spans="1:1" x14ac:dyDescent="0.45">
      <c r="A43" t="s">
        <v>118</v>
      </c>
    </row>
    <row r="44" spans="1:1" x14ac:dyDescent="0.45">
      <c r="A44" t="s">
        <v>119</v>
      </c>
    </row>
    <row r="45" spans="1:1" x14ac:dyDescent="0.45">
      <c r="A45" t="s">
        <v>120</v>
      </c>
    </row>
    <row r="46" spans="1:1" x14ac:dyDescent="0.45">
      <c r="A46" t="s">
        <v>121</v>
      </c>
    </row>
    <row r="47" spans="1:1" x14ac:dyDescent="0.45">
      <c r="A47" t="s">
        <v>122</v>
      </c>
    </row>
    <row r="48" spans="1:1" x14ac:dyDescent="0.45">
      <c r="A48" t="s">
        <v>124</v>
      </c>
    </row>
    <row r="49" spans="1:1" x14ac:dyDescent="0.45">
      <c r="A49" t="s">
        <v>125</v>
      </c>
    </row>
    <row r="50" spans="1:1" x14ac:dyDescent="0.45">
      <c r="A50" t="s">
        <v>127</v>
      </c>
    </row>
    <row r="51" spans="1:1" x14ac:dyDescent="0.45">
      <c r="A51" t="s">
        <v>129</v>
      </c>
    </row>
    <row r="52" spans="1:1" x14ac:dyDescent="0.45">
      <c r="A52" t="s">
        <v>130</v>
      </c>
    </row>
    <row r="53" spans="1:1" x14ac:dyDescent="0.45">
      <c r="A53" t="s">
        <v>132</v>
      </c>
    </row>
    <row r="54" spans="1:1" x14ac:dyDescent="0.45">
      <c r="A54" t="s">
        <v>133</v>
      </c>
    </row>
    <row r="55" spans="1:1" x14ac:dyDescent="0.45">
      <c r="A55" t="s">
        <v>134</v>
      </c>
    </row>
    <row r="56" spans="1:1" x14ac:dyDescent="0.45">
      <c r="A56" t="s">
        <v>135</v>
      </c>
    </row>
    <row r="57" spans="1:1" x14ac:dyDescent="0.45">
      <c r="A57" t="s">
        <v>136</v>
      </c>
    </row>
    <row r="58" spans="1:1" x14ac:dyDescent="0.45">
      <c r="A58" t="s">
        <v>137</v>
      </c>
    </row>
    <row r="59" spans="1:1" x14ac:dyDescent="0.45">
      <c r="A59" t="s">
        <v>139</v>
      </c>
    </row>
    <row r="60" spans="1:1" x14ac:dyDescent="0.45">
      <c r="A60" t="s">
        <v>140</v>
      </c>
    </row>
    <row r="61" spans="1:1" x14ac:dyDescent="0.45">
      <c r="A61" t="s">
        <v>141</v>
      </c>
    </row>
    <row r="62" spans="1:1" x14ac:dyDescent="0.45">
      <c r="A62" t="s">
        <v>142</v>
      </c>
    </row>
    <row r="63" spans="1:1" x14ac:dyDescent="0.45">
      <c r="A63" t="s">
        <v>143</v>
      </c>
    </row>
    <row r="64" spans="1:1" x14ac:dyDescent="0.45">
      <c r="A64" t="s">
        <v>144</v>
      </c>
    </row>
    <row r="65" spans="1:1" x14ac:dyDescent="0.45">
      <c r="A65" t="s">
        <v>145</v>
      </c>
    </row>
    <row r="66" spans="1:1" x14ac:dyDescent="0.45">
      <c r="A66" t="s">
        <v>146</v>
      </c>
    </row>
    <row r="67" spans="1:1" x14ac:dyDescent="0.45">
      <c r="A67" t="s">
        <v>147</v>
      </c>
    </row>
    <row r="68" spans="1:1" x14ac:dyDescent="0.45">
      <c r="A68" t="s">
        <v>148</v>
      </c>
    </row>
    <row r="69" spans="1:1" x14ac:dyDescent="0.45">
      <c r="A69" t="s">
        <v>149</v>
      </c>
    </row>
    <row r="70" spans="1:1" x14ac:dyDescent="0.45">
      <c r="A70" t="s">
        <v>150</v>
      </c>
    </row>
    <row r="71" spans="1:1" x14ac:dyDescent="0.45">
      <c r="A71" t="s">
        <v>152</v>
      </c>
    </row>
    <row r="72" spans="1:1" x14ac:dyDescent="0.45">
      <c r="A72" t="s">
        <v>153</v>
      </c>
    </row>
    <row r="73" spans="1:1" x14ac:dyDescent="0.45">
      <c r="A73" t="s">
        <v>154</v>
      </c>
    </row>
    <row r="74" spans="1:1" x14ac:dyDescent="0.45">
      <c r="A74" t="s">
        <v>155</v>
      </c>
    </row>
    <row r="75" spans="1:1" x14ac:dyDescent="0.45">
      <c r="A75" t="s">
        <v>156</v>
      </c>
    </row>
    <row r="76" spans="1:1" x14ac:dyDescent="0.45">
      <c r="A76" t="s">
        <v>157</v>
      </c>
    </row>
    <row r="77" spans="1:1" x14ac:dyDescent="0.45">
      <c r="A77" t="s">
        <v>158</v>
      </c>
    </row>
    <row r="78" spans="1:1" x14ac:dyDescent="0.45">
      <c r="A78" t="s">
        <v>159</v>
      </c>
    </row>
    <row r="79" spans="1:1" x14ac:dyDescent="0.45">
      <c r="A79" t="s">
        <v>160</v>
      </c>
    </row>
    <row r="80" spans="1:1" x14ac:dyDescent="0.45">
      <c r="A80" t="s">
        <v>162</v>
      </c>
    </row>
    <row r="81" spans="1:1" x14ac:dyDescent="0.45">
      <c r="A81" t="s">
        <v>163</v>
      </c>
    </row>
    <row r="82" spans="1:1" x14ac:dyDescent="0.45">
      <c r="A82" t="s">
        <v>164</v>
      </c>
    </row>
    <row r="83" spans="1:1" x14ac:dyDescent="0.45">
      <c r="A83" t="s">
        <v>165</v>
      </c>
    </row>
    <row r="84" spans="1:1" x14ac:dyDescent="0.45">
      <c r="A84" t="s">
        <v>166</v>
      </c>
    </row>
    <row r="85" spans="1:1" x14ac:dyDescent="0.45">
      <c r="A85" t="s">
        <v>167</v>
      </c>
    </row>
    <row r="86" spans="1:1" x14ac:dyDescent="0.45">
      <c r="A86" t="s">
        <v>168</v>
      </c>
    </row>
    <row r="87" spans="1:1" x14ac:dyDescent="0.45">
      <c r="A87" t="s">
        <v>169</v>
      </c>
    </row>
    <row r="88" spans="1:1" x14ac:dyDescent="0.45">
      <c r="A88" t="s">
        <v>170</v>
      </c>
    </row>
    <row r="89" spans="1:1" x14ac:dyDescent="0.45">
      <c r="A89" t="s">
        <v>171</v>
      </c>
    </row>
    <row r="90" spans="1:1" x14ac:dyDescent="0.45">
      <c r="A90" t="s">
        <v>172</v>
      </c>
    </row>
    <row r="91" spans="1:1" x14ac:dyDescent="0.45">
      <c r="A91" t="s">
        <v>173</v>
      </c>
    </row>
    <row r="92" spans="1:1" x14ac:dyDescent="0.45">
      <c r="A92" t="s">
        <v>174</v>
      </c>
    </row>
    <row r="93" spans="1:1" x14ac:dyDescent="0.45">
      <c r="A93" t="s">
        <v>175</v>
      </c>
    </row>
    <row r="94" spans="1:1" x14ac:dyDescent="0.45">
      <c r="A94" t="s">
        <v>176</v>
      </c>
    </row>
    <row r="95" spans="1:1" x14ac:dyDescent="0.45">
      <c r="A95" t="s">
        <v>177</v>
      </c>
    </row>
    <row r="96" spans="1:1" x14ac:dyDescent="0.45">
      <c r="A96" t="s">
        <v>178</v>
      </c>
    </row>
    <row r="97" spans="1:1" x14ac:dyDescent="0.45">
      <c r="A97" t="s">
        <v>179</v>
      </c>
    </row>
    <row r="98" spans="1:1" x14ac:dyDescent="0.45">
      <c r="A98" t="s">
        <v>180</v>
      </c>
    </row>
    <row r="99" spans="1:1" x14ac:dyDescent="0.45">
      <c r="A99" t="s">
        <v>181</v>
      </c>
    </row>
    <row r="100" spans="1:1" x14ac:dyDescent="0.45">
      <c r="A100" t="s">
        <v>182</v>
      </c>
    </row>
    <row r="101" spans="1:1" x14ac:dyDescent="0.45">
      <c r="A101" t="s">
        <v>183</v>
      </c>
    </row>
    <row r="102" spans="1:1" x14ac:dyDescent="0.45">
      <c r="A102" t="s">
        <v>184</v>
      </c>
    </row>
    <row r="103" spans="1:1" x14ac:dyDescent="0.45">
      <c r="A103" t="s">
        <v>185</v>
      </c>
    </row>
    <row r="104" spans="1:1" x14ac:dyDescent="0.45">
      <c r="A104" t="s">
        <v>186</v>
      </c>
    </row>
    <row r="105" spans="1:1" x14ac:dyDescent="0.45">
      <c r="A105" t="s">
        <v>187</v>
      </c>
    </row>
    <row r="106" spans="1:1" x14ac:dyDescent="0.45">
      <c r="A106" t="s">
        <v>188</v>
      </c>
    </row>
    <row r="107" spans="1:1" x14ac:dyDescent="0.45">
      <c r="A107" t="s">
        <v>189</v>
      </c>
    </row>
    <row r="108" spans="1:1" x14ac:dyDescent="0.45">
      <c r="A108" t="s">
        <v>190</v>
      </c>
    </row>
    <row r="109" spans="1:1" x14ac:dyDescent="0.45">
      <c r="A109" t="s">
        <v>191</v>
      </c>
    </row>
    <row r="110" spans="1:1" x14ac:dyDescent="0.45">
      <c r="A110" t="s">
        <v>192</v>
      </c>
    </row>
    <row r="111" spans="1:1" x14ac:dyDescent="0.45">
      <c r="A111" t="s">
        <v>193</v>
      </c>
    </row>
    <row r="112" spans="1:1" x14ac:dyDescent="0.45">
      <c r="A112" t="s">
        <v>194</v>
      </c>
    </row>
    <row r="113" spans="1:1" x14ac:dyDescent="0.45">
      <c r="A113" t="s">
        <v>195</v>
      </c>
    </row>
    <row r="114" spans="1:1" x14ac:dyDescent="0.45">
      <c r="A114" t="s">
        <v>196</v>
      </c>
    </row>
    <row r="115" spans="1:1" x14ac:dyDescent="0.45">
      <c r="A115" t="s">
        <v>198</v>
      </c>
    </row>
    <row r="116" spans="1:1" x14ac:dyDescent="0.45">
      <c r="A116" t="s">
        <v>199</v>
      </c>
    </row>
    <row r="117" spans="1:1" x14ac:dyDescent="0.45">
      <c r="A117" t="s">
        <v>200</v>
      </c>
    </row>
    <row r="118" spans="1:1" x14ac:dyDescent="0.45">
      <c r="A118" t="s">
        <v>201</v>
      </c>
    </row>
    <row r="119" spans="1:1" x14ac:dyDescent="0.45">
      <c r="A119" t="s">
        <v>203</v>
      </c>
    </row>
    <row r="120" spans="1:1" x14ac:dyDescent="0.45">
      <c r="A120" t="s">
        <v>204</v>
      </c>
    </row>
    <row r="121" spans="1:1" x14ac:dyDescent="0.45">
      <c r="A121" t="s">
        <v>205</v>
      </c>
    </row>
    <row r="122" spans="1:1" x14ac:dyDescent="0.45">
      <c r="A122" t="s">
        <v>206</v>
      </c>
    </row>
    <row r="123" spans="1:1" x14ac:dyDescent="0.45">
      <c r="A123" t="s">
        <v>207</v>
      </c>
    </row>
    <row r="124" spans="1:1" x14ac:dyDescent="0.45">
      <c r="A124" t="s">
        <v>208</v>
      </c>
    </row>
    <row r="125" spans="1:1" x14ac:dyDescent="0.45">
      <c r="A125" t="s">
        <v>209</v>
      </c>
    </row>
    <row r="126" spans="1:1" x14ac:dyDescent="0.45">
      <c r="A126" t="s">
        <v>210</v>
      </c>
    </row>
    <row r="127" spans="1:1" x14ac:dyDescent="0.45">
      <c r="A127" t="s">
        <v>211</v>
      </c>
    </row>
    <row r="128" spans="1:1" x14ac:dyDescent="0.45">
      <c r="A128" t="s">
        <v>212</v>
      </c>
    </row>
    <row r="129" spans="1:1" x14ac:dyDescent="0.45">
      <c r="A129" t="s">
        <v>213</v>
      </c>
    </row>
    <row r="130" spans="1:1" x14ac:dyDescent="0.45">
      <c r="A130" t="s">
        <v>214</v>
      </c>
    </row>
    <row r="131" spans="1:1" x14ac:dyDescent="0.45">
      <c r="A131" t="s">
        <v>215</v>
      </c>
    </row>
    <row r="132" spans="1:1" x14ac:dyDescent="0.45">
      <c r="A132" t="s">
        <v>216</v>
      </c>
    </row>
    <row r="133" spans="1:1" x14ac:dyDescent="0.45">
      <c r="A133" t="s">
        <v>218</v>
      </c>
    </row>
    <row r="134" spans="1:1" x14ac:dyDescent="0.45">
      <c r="A134" t="s">
        <v>219</v>
      </c>
    </row>
    <row r="135" spans="1:1" x14ac:dyDescent="0.45">
      <c r="A135" t="s">
        <v>220</v>
      </c>
    </row>
    <row r="136" spans="1:1" x14ac:dyDescent="0.45">
      <c r="A136" t="s">
        <v>221</v>
      </c>
    </row>
    <row r="137" spans="1:1" x14ac:dyDescent="0.45">
      <c r="A137" t="s">
        <v>222</v>
      </c>
    </row>
    <row r="138" spans="1:1" x14ac:dyDescent="0.45">
      <c r="A138" t="s">
        <v>223</v>
      </c>
    </row>
    <row r="139" spans="1:1" x14ac:dyDescent="0.45">
      <c r="A139" t="s">
        <v>224</v>
      </c>
    </row>
    <row r="140" spans="1:1" x14ac:dyDescent="0.45">
      <c r="A140" t="s">
        <v>225</v>
      </c>
    </row>
    <row r="141" spans="1:1" x14ac:dyDescent="0.45">
      <c r="A141" t="s">
        <v>226</v>
      </c>
    </row>
    <row r="142" spans="1:1" x14ac:dyDescent="0.45">
      <c r="A142" t="s">
        <v>227</v>
      </c>
    </row>
    <row r="143" spans="1:1" x14ac:dyDescent="0.45">
      <c r="A143" t="s">
        <v>228</v>
      </c>
    </row>
    <row r="144" spans="1:1" x14ac:dyDescent="0.45">
      <c r="A144" t="s">
        <v>229</v>
      </c>
    </row>
    <row r="145" spans="1:1" x14ac:dyDescent="0.45">
      <c r="A145" t="s">
        <v>230</v>
      </c>
    </row>
    <row r="146" spans="1:1" x14ac:dyDescent="0.45">
      <c r="A146" t="s">
        <v>231</v>
      </c>
    </row>
    <row r="147" spans="1:1" x14ac:dyDescent="0.45">
      <c r="A147" t="s">
        <v>232</v>
      </c>
    </row>
    <row r="148" spans="1:1" x14ac:dyDescent="0.45">
      <c r="A148" t="s">
        <v>233</v>
      </c>
    </row>
    <row r="149" spans="1:1" x14ac:dyDescent="0.45">
      <c r="A149" t="s">
        <v>234</v>
      </c>
    </row>
    <row r="150" spans="1:1" x14ac:dyDescent="0.45">
      <c r="A150" t="s">
        <v>235</v>
      </c>
    </row>
    <row r="151" spans="1:1" x14ac:dyDescent="0.45">
      <c r="A151" t="s">
        <v>236</v>
      </c>
    </row>
    <row r="152" spans="1:1" x14ac:dyDescent="0.45">
      <c r="A152" t="s">
        <v>237</v>
      </c>
    </row>
    <row r="153" spans="1:1" x14ac:dyDescent="0.45">
      <c r="A153" t="s">
        <v>238</v>
      </c>
    </row>
    <row r="154" spans="1:1" x14ac:dyDescent="0.45">
      <c r="A154" t="s">
        <v>239</v>
      </c>
    </row>
    <row r="155" spans="1:1" x14ac:dyDescent="0.45">
      <c r="A155" t="s">
        <v>240</v>
      </c>
    </row>
    <row r="156" spans="1:1" x14ac:dyDescent="0.45">
      <c r="A156" t="s">
        <v>241</v>
      </c>
    </row>
    <row r="157" spans="1:1" x14ac:dyDescent="0.45">
      <c r="A157" t="s">
        <v>242</v>
      </c>
    </row>
    <row r="158" spans="1:1" x14ac:dyDescent="0.45">
      <c r="A158" t="s">
        <v>243</v>
      </c>
    </row>
    <row r="159" spans="1:1" x14ac:dyDescent="0.45">
      <c r="A159" t="s">
        <v>244</v>
      </c>
    </row>
    <row r="160" spans="1:1" x14ac:dyDescent="0.45">
      <c r="A160" t="s">
        <v>245</v>
      </c>
    </row>
    <row r="161" spans="1:1" x14ac:dyDescent="0.45">
      <c r="A161" t="s">
        <v>246</v>
      </c>
    </row>
    <row r="162" spans="1:1" x14ac:dyDescent="0.45">
      <c r="A162" t="s">
        <v>247</v>
      </c>
    </row>
    <row r="163" spans="1:1" x14ac:dyDescent="0.45">
      <c r="A163" t="s">
        <v>248</v>
      </c>
    </row>
    <row r="164" spans="1:1" x14ac:dyDescent="0.45">
      <c r="A164" t="s">
        <v>249</v>
      </c>
    </row>
    <row r="165" spans="1:1" x14ac:dyDescent="0.45">
      <c r="A165" t="s">
        <v>250</v>
      </c>
    </row>
    <row r="166" spans="1:1" x14ac:dyDescent="0.45">
      <c r="A166" t="s">
        <v>251</v>
      </c>
    </row>
    <row r="167" spans="1:1" x14ac:dyDescent="0.45">
      <c r="A167" t="s">
        <v>252</v>
      </c>
    </row>
    <row r="168" spans="1:1" x14ac:dyDescent="0.45">
      <c r="A168" t="s">
        <v>253</v>
      </c>
    </row>
    <row r="169" spans="1:1" x14ac:dyDescent="0.45">
      <c r="A169" t="s">
        <v>254</v>
      </c>
    </row>
    <row r="170" spans="1:1" x14ac:dyDescent="0.45">
      <c r="A170" t="s">
        <v>255</v>
      </c>
    </row>
    <row r="171" spans="1:1" x14ac:dyDescent="0.45">
      <c r="A171" t="s">
        <v>256</v>
      </c>
    </row>
    <row r="172" spans="1:1" x14ac:dyDescent="0.45">
      <c r="A172" t="s">
        <v>257</v>
      </c>
    </row>
    <row r="173" spans="1:1" x14ac:dyDescent="0.45">
      <c r="A173" t="s">
        <v>258</v>
      </c>
    </row>
    <row r="174" spans="1:1" x14ac:dyDescent="0.45">
      <c r="A174" t="s">
        <v>259</v>
      </c>
    </row>
    <row r="175" spans="1:1" x14ac:dyDescent="0.45">
      <c r="A175" t="s">
        <v>260</v>
      </c>
    </row>
    <row r="176" spans="1:1" x14ac:dyDescent="0.45">
      <c r="A176" t="s">
        <v>261</v>
      </c>
    </row>
    <row r="177" spans="1:1" x14ac:dyDescent="0.45">
      <c r="A177" t="s">
        <v>262</v>
      </c>
    </row>
    <row r="178" spans="1:1" x14ac:dyDescent="0.45">
      <c r="A178" t="s">
        <v>263</v>
      </c>
    </row>
    <row r="179" spans="1:1" x14ac:dyDescent="0.45">
      <c r="A179" t="s">
        <v>264</v>
      </c>
    </row>
    <row r="180" spans="1:1" x14ac:dyDescent="0.45">
      <c r="A180" t="s">
        <v>265</v>
      </c>
    </row>
    <row r="181" spans="1:1" x14ac:dyDescent="0.45">
      <c r="A181" t="s">
        <v>266</v>
      </c>
    </row>
    <row r="182" spans="1:1" x14ac:dyDescent="0.45">
      <c r="A182" t="s">
        <v>267</v>
      </c>
    </row>
    <row r="183" spans="1:1" x14ac:dyDescent="0.45">
      <c r="A183" t="s">
        <v>268</v>
      </c>
    </row>
    <row r="184" spans="1:1" x14ac:dyDescent="0.45">
      <c r="A184" t="s">
        <v>269</v>
      </c>
    </row>
    <row r="185" spans="1:1" x14ac:dyDescent="0.45">
      <c r="A185" t="s">
        <v>270</v>
      </c>
    </row>
    <row r="186" spans="1:1" x14ac:dyDescent="0.45">
      <c r="A186" t="s">
        <v>271</v>
      </c>
    </row>
    <row r="187" spans="1:1" x14ac:dyDescent="0.45">
      <c r="A187" t="s">
        <v>272</v>
      </c>
    </row>
    <row r="188" spans="1:1" x14ac:dyDescent="0.45">
      <c r="A188" t="s">
        <v>273</v>
      </c>
    </row>
    <row r="189" spans="1:1" x14ac:dyDescent="0.45">
      <c r="A189" t="s">
        <v>274</v>
      </c>
    </row>
    <row r="190" spans="1:1" x14ac:dyDescent="0.45">
      <c r="A190" t="s">
        <v>275</v>
      </c>
    </row>
    <row r="191" spans="1:1" x14ac:dyDescent="0.45">
      <c r="A191" t="s">
        <v>276</v>
      </c>
    </row>
    <row r="192" spans="1:1" x14ac:dyDescent="0.45">
      <c r="A192" t="s">
        <v>277</v>
      </c>
    </row>
    <row r="193" spans="1:1" x14ac:dyDescent="0.45">
      <c r="A193" t="s">
        <v>278</v>
      </c>
    </row>
    <row r="194" spans="1:1" x14ac:dyDescent="0.45">
      <c r="A194" t="s">
        <v>279</v>
      </c>
    </row>
    <row r="195" spans="1:1" x14ac:dyDescent="0.45">
      <c r="A195" t="s">
        <v>280</v>
      </c>
    </row>
    <row r="196" spans="1:1" x14ac:dyDescent="0.45">
      <c r="A196" t="s">
        <v>281</v>
      </c>
    </row>
    <row r="197" spans="1:1" x14ac:dyDescent="0.45">
      <c r="A197" t="s">
        <v>282</v>
      </c>
    </row>
    <row r="198" spans="1:1" x14ac:dyDescent="0.45">
      <c r="A198" t="s">
        <v>283</v>
      </c>
    </row>
    <row r="199" spans="1:1" x14ac:dyDescent="0.45">
      <c r="A199" t="s">
        <v>284</v>
      </c>
    </row>
    <row r="200" spans="1:1" x14ac:dyDescent="0.45">
      <c r="A200" t="s">
        <v>285</v>
      </c>
    </row>
    <row r="201" spans="1:1" x14ac:dyDescent="0.45">
      <c r="A201" t="s">
        <v>286</v>
      </c>
    </row>
    <row r="202" spans="1:1" x14ac:dyDescent="0.45">
      <c r="A202" t="s">
        <v>287</v>
      </c>
    </row>
    <row r="203" spans="1:1" x14ac:dyDescent="0.45">
      <c r="A203" t="s">
        <v>288</v>
      </c>
    </row>
    <row r="204" spans="1:1" x14ac:dyDescent="0.45">
      <c r="A204" t="s">
        <v>289</v>
      </c>
    </row>
    <row r="205" spans="1:1" x14ac:dyDescent="0.45">
      <c r="A205" t="s">
        <v>290</v>
      </c>
    </row>
    <row r="206" spans="1:1" x14ac:dyDescent="0.45">
      <c r="A206" t="s">
        <v>291</v>
      </c>
    </row>
    <row r="207" spans="1:1" x14ac:dyDescent="0.45">
      <c r="A207" t="s">
        <v>292</v>
      </c>
    </row>
    <row r="208" spans="1:1" x14ac:dyDescent="0.45">
      <c r="A208" t="s">
        <v>293</v>
      </c>
    </row>
    <row r="209" spans="1:1" x14ac:dyDescent="0.45">
      <c r="A209" t="s">
        <v>294</v>
      </c>
    </row>
    <row r="210" spans="1:1" x14ac:dyDescent="0.45">
      <c r="A210" t="s">
        <v>295</v>
      </c>
    </row>
    <row r="211" spans="1:1" x14ac:dyDescent="0.45">
      <c r="A211" t="s">
        <v>296</v>
      </c>
    </row>
    <row r="212" spans="1:1" x14ac:dyDescent="0.45">
      <c r="A212" t="s">
        <v>297</v>
      </c>
    </row>
    <row r="213" spans="1:1" x14ac:dyDescent="0.45">
      <c r="A213" t="s">
        <v>298</v>
      </c>
    </row>
    <row r="214" spans="1:1" x14ac:dyDescent="0.45">
      <c r="A214" t="s">
        <v>299</v>
      </c>
    </row>
    <row r="215" spans="1:1" x14ac:dyDescent="0.45">
      <c r="A215" t="s">
        <v>300</v>
      </c>
    </row>
    <row r="216" spans="1:1" x14ac:dyDescent="0.45">
      <c r="A216" t="s">
        <v>301</v>
      </c>
    </row>
    <row r="217" spans="1:1" x14ac:dyDescent="0.45">
      <c r="A217" t="s">
        <v>302</v>
      </c>
    </row>
    <row r="218" spans="1:1" x14ac:dyDescent="0.45">
      <c r="A218" t="s">
        <v>303</v>
      </c>
    </row>
    <row r="219" spans="1:1" x14ac:dyDescent="0.45">
      <c r="A219" t="s">
        <v>304</v>
      </c>
    </row>
    <row r="220" spans="1:1" x14ac:dyDescent="0.45">
      <c r="A220" t="s">
        <v>305</v>
      </c>
    </row>
    <row r="221" spans="1:1" x14ac:dyDescent="0.45">
      <c r="A221" t="s">
        <v>306</v>
      </c>
    </row>
    <row r="222" spans="1:1" x14ac:dyDescent="0.45">
      <c r="A222" t="s">
        <v>307</v>
      </c>
    </row>
    <row r="223" spans="1:1" x14ac:dyDescent="0.45">
      <c r="A223" t="s">
        <v>308</v>
      </c>
    </row>
    <row r="224" spans="1:1" x14ac:dyDescent="0.45">
      <c r="A224" t="s">
        <v>309</v>
      </c>
    </row>
    <row r="225" spans="1:1" x14ac:dyDescent="0.45">
      <c r="A225" t="s">
        <v>310</v>
      </c>
    </row>
    <row r="226" spans="1:1" x14ac:dyDescent="0.45">
      <c r="A226" t="s">
        <v>311</v>
      </c>
    </row>
    <row r="227" spans="1:1" x14ac:dyDescent="0.45">
      <c r="A227" t="s">
        <v>312</v>
      </c>
    </row>
    <row r="228" spans="1:1" x14ac:dyDescent="0.45">
      <c r="A228" t="s">
        <v>313</v>
      </c>
    </row>
    <row r="229" spans="1:1" x14ac:dyDescent="0.45">
      <c r="A229" t="s">
        <v>314</v>
      </c>
    </row>
    <row r="230" spans="1:1" x14ac:dyDescent="0.45">
      <c r="A230" t="s">
        <v>315</v>
      </c>
    </row>
    <row r="231" spans="1:1" x14ac:dyDescent="0.45">
      <c r="A231" t="s">
        <v>316</v>
      </c>
    </row>
    <row r="232" spans="1:1" x14ac:dyDescent="0.45">
      <c r="A232" t="s">
        <v>317</v>
      </c>
    </row>
    <row r="233" spans="1:1" x14ac:dyDescent="0.45">
      <c r="A233" t="s">
        <v>318</v>
      </c>
    </row>
    <row r="234" spans="1:1" x14ac:dyDescent="0.45">
      <c r="A234" t="s">
        <v>319</v>
      </c>
    </row>
    <row r="235" spans="1:1" x14ac:dyDescent="0.45">
      <c r="A235" t="s">
        <v>320</v>
      </c>
    </row>
    <row r="236" spans="1:1" x14ac:dyDescent="0.45">
      <c r="A236" t="s">
        <v>321</v>
      </c>
    </row>
    <row r="237" spans="1:1" x14ac:dyDescent="0.45">
      <c r="A237" t="s">
        <v>322</v>
      </c>
    </row>
    <row r="238" spans="1:1" x14ac:dyDescent="0.45">
      <c r="A238" t="s">
        <v>323</v>
      </c>
    </row>
    <row r="239" spans="1:1" x14ac:dyDescent="0.45">
      <c r="A239" t="s">
        <v>324</v>
      </c>
    </row>
    <row r="240" spans="1:1" x14ac:dyDescent="0.45">
      <c r="A240" t="s">
        <v>325</v>
      </c>
    </row>
    <row r="241" spans="1:1" x14ac:dyDescent="0.45">
      <c r="A241" t="s">
        <v>326</v>
      </c>
    </row>
    <row r="242" spans="1:1" x14ac:dyDescent="0.45">
      <c r="A242" t="s">
        <v>327</v>
      </c>
    </row>
    <row r="243" spans="1:1" x14ac:dyDescent="0.45">
      <c r="A243" t="s">
        <v>328</v>
      </c>
    </row>
    <row r="244" spans="1:1" x14ac:dyDescent="0.45">
      <c r="A244" t="s">
        <v>329</v>
      </c>
    </row>
    <row r="245" spans="1:1" x14ac:dyDescent="0.45">
      <c r="A245" t="s">
        <v>330</v>
      </c>
    </row>
    <row r="246" spans="1:1" x14ac:dyDescent="0.45">
      <c r="A246" t="s">
        <v>331</v>
      </c>
    </row>
    <row r="247" spans="1:1" x14ac:dyDescent="0.45">
      <c r="A247" t="s">
        <v>332</v>
      </c>
    </row>
    <row r="248" spans="1:1" x14ac:dyDescent="0.45">
      <c r="A248" t="s">
        <v>333</v>
      </c>
    </row>
    <row r="249" spans="1:1" x14ac:dyDescent="0.45">
      <c r="A249" t="s">
        <v>334</v>
      </c>
    </row>
    <row r="250" spans="1:1" x14ac:dyDescent="0.45">
      <c r="A250" t="s">
        <v>335</v>
      </c>
    </row>
    <row r="251" spans="1:1" x14ac:dyDescent="0.45">
      <c r="A251" t="s">
        <v>336</v>
      </c>
    </row>
    <row r="252" spans="1:1" x14ac:dyDescent="0.45">
      <c r="A252" t="s">
        <v>337</v>
      </c>
    </row>
    <row r="253" spans="1:1" x14ac:dyDescent="0.45">
      <c r="A253" t="s">
        <v>338</v>
      </c>
    </row>
    <row r="254" spans="1:1" x14ac:dyDescent="0.45">
      <c r="A254" t="s">
        <v>339</v>
      </c>
    </row>
    <row r="255" spans="1:1" x14ac:dyDescent="0.45">
      <c r="A255" t="s">
        <v>340</v>
      </c>
    </row>
    <row r="256" spans="1:1" x14ac:dyDescent="0.45">
      <c r="A256" t="s">
        <v>341</v>
      </c>
    </row>
    <row r="257" spans="1:1" x14ac:dyDescent="0.45">
      <c r="A257" t="s">
        <v>342</v>
      </c>
    </row>
    <row r="258" spans="1:1" x14ac:dyDescent="0.45">
      <c r="A258" t="s">
        <v>343</v>
      </c>
    </row>
    <row r="259" spans="1:1" x14ac:dyDescent="0.45">
      <c r="A259" t="s">
        <v>344</v>
      </c>
    </row>
    <row r="260" spans="1:1" x14ac:dyDescent="0.45">
      <c r="A260" t="s">
        <v>345</v>
      </c>
    </row>
    <row r="261" spans="1:1" x14ac:dyDescent="0.45">
      <c r="A261" t="s">
        <v>346</v>
      </c>
    </row>
    <row r="262" spans="1:1" x14ac:dyDescent="0.45">
      <c r="A262" t="s">
        <v>347</v>
      </c>
    </row>
    <row r="263" spans="1:1" x14ac:dyDescent="0.45">
      <c r="A263" t="s">
        <v>348</v>
      </c>
    </row>
    <row r="264" spans="1:1" x14ac:dyDescent="0.45">
      <c r="A264" t="s">
        <v>349</v>
      </c>
    </row>
    <row r="265" spans="1:1" x14ac:dyDescent="0.45">
      <c r="A265" t="s">
        <v>350</v>
      </c>
    </row>
    <row r="266" spans="1:1" x14ac:dyDescent="0.45">
      <c r="A266" t="s">
        <v>351</v>
      </c>
    </row>
    <row r="267" spans="1:1" x14ac:dyDescent="0.45">
      <c r="A267" t="s">
        <v>352</v>
      </c>
    </row>
    <row r="268" spans="1:1" x14ac:dyDescent="0.45">
      <c r="A268" t="s">
        <v>353</v>
      </c>
    </row>
    <row r="269" spans="1:1" x14ac:dyDescent="0.45">
      <c r="A269" t="s">
        <v>354</v>
      </c>
    </row>
    <row r="270" spans="1:1" x14ac:dyDescent="0.45">
      <c r="A270" t="s">
        <v>355</v>
      </c>
    </row>
    <row r="271" spans="1:1" x14ac:dyDescent="0.45">
      <c r="A271" t="s">
        <v>356</v>
      </c>
    </row>
    <row r="272" spans="1:1" x14ac:dyDescent="0.45">
      <c r="A272" t="s">
        <v>357</v>
      </c>
    </row>
    <row r="273" spans="1:1" x14ac:dyDescent="0.45">
      <c r="A273" t="s">
        <v>358</v>
      </c>
    </row>
    <row r="274" spans="1:1" x14ac:dyDescent="0.45">
      <c r="A274" t="s">
        <v>359</v>
      </c>
    </row>
    <row r="275" spans="1:1" x14ac:dyDescent="0.45">
      <c r="A275" t="s">
        <v>360</v>
      </c>
    </row>
    <row r="276" spans="1:1" x14ac:dyDescent="0.45">
      <c r="A276" t="s">
        <v>361</v>
      </c>
    </row>
    <row r="277" spans="1:1" x14ac:dyDescent="0.45">
      <c r="A277" t="s">
        <v>362</v>
      </c>
    </row>
    <row r="278" spans="1:1" x14ac:dyDescent="0.45">
      <c r="A278" t="s">
        <v>363</v>
      </c>
    </row>
    <row r="279" spans="1:1" x14ac:dyDescent="0.45">
      <c r="A279" t="s">
        <v>364</v>
      </c>
    </row>
    <row r="280" spans="1:1" x14ac:dyDescent="0.45">
      <c r="A280" t="s">
        <v>365</v>
      </c>
    </row>
    <row r="281" spans="1:1" x14ac:dyDescent="0.45">
      <c r="A281" t="s">
        <v>366</v>
      </c>
    </row>
    <row r="282" spans="1:1" x14ac:dyDescent="0.45">
      <c r="A282" t="s">
        <v>367</v>
      </c>
    </row>
    <row r="283" spans="1:1" x14ac:dyDescent="0.45">
      <c r="A283" t="s">
        <v>368</v>
      </c>
    </row>
    <row r="284" spans="1:1" x14ac:dyDescent="0.45">
      <c r="A284" t="s">
        <v>369</v>
      </c>
    </row>
    <row r="285" spans="1:1" x14ac:dyDescent="0.45">
      <c r="A285" t="s">
        <v>370</v>
      </c>
    </row>
    <row r="286" spans="1:1" x14ac:dyDescent="0.45">
      <c r="A286" t="s">
        <v>371</v>
      </c>
    </row>
    <row r="287" spans="1:1" x14ac:dyDescent="0.45">
      <c r="A287" t="s">
        <v>372</v>
      </c>
    </row>
    <row r="288" spans="1:1" x14ac:dyDescent="0.45">
      <c r="A288" t="s">
        <v>373</v>
      </c>
    </row>
    <row r="289" spans="1:1" x14ac:dyDescent="0.45">
      <c r="A289" t="s">
        <v>374</v>
      </c>
    </row>
    <row r="290" spans="1:1" x14ac:dyDescent="0.45">
      <c r="A290" t="s">
        <v>375</v>
      </c>
    </row>
    <row r="291" spans="1:1" x14ac:dyDescent="0.45">
      <c r="A291" t="s">
        <v>376</v>
      </c>
    </row>
    <row r="292" spans="1:1" x14ac:dyDescent="0.45">
      <c r="A292" t="s">
        <v>377</v>
      </c>
    </row>
    <row r="293" spans="1:1" x14ac:dyDescent="0.45">
      <c r="A293" t="s">
        <v>378</v>
      </c>
    </row>
    <row r="294" spans="1:1" x14ac:dyDescent="0.45">
      <c r="A294" t="s">
        <v>379</v>
      </c>
    </row>
    <row r="295" spans="1:1" x14ac:dyDescent="0.45">
      <c r="A295" t="s">
        <v>380</v>
      </c>
    </row>
    <row r="296" spans="1:1" x14ac:dyDescent="0.45">
      <c r="A296" t="s">
        <v>381</v>
      </c>
    </row>
    <row r="297" spans="1:1" x14ac:dyDescent="0.45">
      <c r="A297" t="s">
        <v>382</v>
      </c>
    </row>
    <row r="298" spans="1:1" x14ac:dyDescent="0.45">
      <c r="A298" t="s">
        <v>383</v>
      </c>
    </row>
    <row r="299" spans="1:1" x14ac:dyDescent="0.45">
      <c r="A299" t="s">
        <v>384</v>
      </c>
    </row>
    <row r="300" spans="1:1" x14ac:dyDescent="0.45">
      <c r="A300" t="s">
        <v>385</v>
      </c>
    </row>
    <row r="301" spans="1:1" x14ac:dyDescent="0.45">
      <c r="A301" t="s">
        <v>386</v>
      </c>
    </row>
    <row r="302" spans="1:1" x14ac:dyDescent="0.45">
      <c r="A302" t="s">
        <v>387</v>
      </c>
    </row>
    <row r="303" spans="1:1" x14ac:dyDescent="0.45">
      <c r="A303" t="s">
        <v>388</v>
      </c>
    </row>
    <row r="304" spans="1:1" x14ac:dyDescent="0.45">
      <c r="A304" t="s">
        <v>389</v>
      </c>
    </row>
    <row r="305" spans="1:1" x14ac:dyDescent="0.45">
      <c r="A305" t="s">
        <v>390</v>
      </c>
    </row>
    <row r="306" spans="1:1" x14ac:dyDescent="0.45">
      <c r="A306" t="s">
        <v>391</v>
      </c>
    </row>
    <row r="307" spans="1:1" x14ac:dyDescent="0.45">
      <c r="A307" t="s">
        <v>392</v>
      </c>
    </row>
    <row r="308" spans="1:1" x14ac:dyDescent="0.45">
      <c r="A308" t="s">
        <v>393</v>
      </c>
    </row>
    <row r="309" spans="1:1" x14ac:dyDescent="0.45">
      <c r="A309" t="s">
        <v>394</v>
      </c>
    </row>
    <row r="310" spans="1:1" x14ac:dyDescent="0.45">
      <c r="A310" t="s">
        <v>395</v>
      </c>
    </row>
    <row r="311" spans="1:1" x14ac:dyDescent="0.45">
      <c r="A311" t="s">
        <v>396</v>
      </c>
    </row>
    <row r="312" spans="1:1" x14ac:dyDescent="0.45">
      <c r="A312" t="s">
        <v>397</v>
      </c>
    </row>
    <row r="313" spans="1:1" x14ac:dyDescent="0.45">
      <c r="A313" t="s">
        <v>398</v>
      </c>
    </row>
    <row r="314" spans="1:1" x14ac:dyDescent="0.45">
      <c r="A314" t="s">
        <v>399</v>
      </c>
    </row>
    <row r="315" spans="1:1" x14ac:dyDescent="0.45">
      <c r="A315" t="s">
        <v>400</v>
      </c>
    </row>
    <row r="316" spans="1:1" x14ac:dyDescent="0.45">
      <c r="A316" t="s">
        <v>401</v>
      </c>
    </row>
    <row r="317" spans="1:1" x14ac:dyDescent="0.45">
      <c r="A317" t="s">
        <v>402</v>
      </c>
    </row>
    <row r="318" spans="1:1" x14ac:dyDescent="0.45">
      <c r="A318" t="s">
        <v>403</v>
      </c>
    </row>
    <row r="319" spans="1:1" x14ac:dyDescent="0.45">
      <c r="A319" t="s">
        <v>404</v>
      </c>
    </row>
    <row r="320" spans="1:1" x14ac:dyDescent="0.45">
      <c r="A320" t="s">
        <v>405</v>
      </c>
    </row>
    <row r="321" spans="1:1" x14ac:dyDescent="0.45">
      <c r="A321" t="s">
        <v>406</v>
      </c>
    </row>
    <row r="322" spans="1:1" x14ac:dyDescent="0.45">
      <c r="A322" t="s">
        <v>407</v>
      </c>
    </row>
    <row r="323" spans="1:1" x14ac:dyDescent="0.45">
      <c r="A323" t="s">
        <v>408</v>
      </c>
    </row>
    <row r="324" spans="1:1" x14ac:dyDescent="0.45">
      <c r="A324" t="s">
        <v>409</v>
      </c>
    </row>
    <row r="325" spans="1:1" x14ac:dyDescent="0.45">
      <c r="A325" t="s">
        <v>410</v>
      </c>
    </row>
    <row r="326" spans="1:1" x14ac:dyDescent="0.45">
      <c r="A326" t="s">
        <v>411</v>
      </c>
    </row>
    <row r="327" spans="1:1" x14ac:dyDescent="0.45">
      <c r="A327" t="s">
        <v>412</v>
      </c>
    </row>
    <row r="328" spans="1:1" x14ac:dyDescent="0.45">
      <c r="A328" t="s">
        <v>413</v>
      </c>
    </row>
    <row r="329" spans="1:1" x14ac:dyDescent="0.45">
      <c r="A329" t="s">
        <v>414</v>
      </c>
    </row>
    <row r="330" spans="1:1" x14ac:dyDescent="0.45">
      <c r="A330" t="s">
        <v>415</v>
      </c>
    </row>
    <row r="331" spans="1:1" x14ac:dyDescent="0.45">
      <c r="A331" t="s">
        <v>416</v>
      </c>
    </row>
    <row r="332" spans="1:1" x14ac:dyDescent="0.45">
      <c r="A332" t="s">
        <v>417</v>
      </c>
    </row>
    <row r="333" spans="1:1" x14ac:dyDescent="0.45">
      <c r="A333" t="s">
        <v>418</v>
      </c>
    </row>
    <row r="334" spans="1:1" x14ac:dyDescent="0.45">
      <c r="A334" t="s">
        <v>419</v>
      </c>
    </row>
    <row r="335" spans="1:1" x14ac:dyDescent="0.45">
      <c r="A335" t="s">
        <v>420</v>
      </c>
    </row>
    <row r="336" spans="1:1" x14ac:dyDescent="0.45">
      <c r="A336" t="s">
        <v>421</v>
      </c>
    </row>
    <row r="337" spans="1:1" x14ac:dyDescent="0.45">
      <c r="A337" t="s">
        <v>422</v>
      </c>
    </row>
    <row r="338" spans="1:1" x14ac:dyDescent="0.45">
      <c r="A338" t="s">
        <v>423</v>
      </c>
    </row>
    <row r="339" spans="1:1" x14ac:dyDescent="0.45">
      <c r="A339" t="s">
        <v>424</v>
      </c>
    </row>
    <row r="340" spans="1:1" x14ac:dyDescent="0.45">
      <c r="A340" t="s">
        <v>425</v>
      </c>
    </row>
    <row r="341" spans="1:1" x14ac:dyDescent="0.45">
      <c r="A341" t="s">
        <v>426</v>
      </c>
    </row>
    <row r="342" spans="1:1" x14ac:dyDescent="0.45">
      <c r="A342" t="s">
        <v>427</v>
      </c>
    </row>
    <row r="343" spans="1:1" x14ac:dyDescent="0.45">
      <c r="A343" t="s">
        <v>428</v>
      </c>
    </row>
    <row r="344" spans="1:1" x14ac:dyDescent="0.45">
      <c r="A344" t="s">
        <v>429</v>
      </c>
    </row>
    <row r="345" spans="1:1" x14ac:dyDescent="0.45">
      <c r="A345" t="s">
        <v>430</v>
      </c>
    </row>
    <row r="346" spans="1:1" x14ac:dyDescent="0.45">
      <c r="A346" t="s">
        <v>431</v>
      </c>
    </row>
    <row r="347" spans="1:1" x14ac:dyDescent="0.45">
      <c r="A347" t="s">
        <v>432</v>
      </c>
    </row>
    <row r="348" spans="1:1" x14ac:dyDescent="0.45">
      <c r="A348" t="s">
        <v>433</v>
      </c>
    </row>
    <row r="349" spans="1:1" x14ac:dyDescent="0.45">
      <c r="A349" t="s">
        <v>434</v>
      </c>
    </row>
    <row r="350" spans="1:1" x14ac:dyDescent="0.45">
      <c r="A350" t="s">
        <v>435</v>
      </c>
    </row>
    <row r="351" spans="1:1" x14ac:dyDescent="0.45">
      <c r="A351" t="s">
        <v>436</v>
      </c>
    </row>
    <row r="352" spans="1:1" x14ac:dyDescent="0.45">
      <c r="A352" t="s">
        <v>437</v>
      </c>
    </row>
    <row r="353" spans="1:1" x14ac:dyDescent="0.45">
      <c r="A353" t="s">
        <v>438</v>
      </c>
    </row>
    <row r="354" spans="1:1" x14ac:dyDescent="0.45">
      <c r="A354" t="s">
        <v>439</v>
      </c>
    </row>
    <row r="355" spans="1:1" x14ac:dyDescent="0.45">
      <c r="A355" t="s">
        <v>440</v>
      </c>
    </row>
    <row r="356" spans="1:1" x14ac:dyDescent="0.45">
      <c r="A356" t="s">
        <v>441</v>
      </c>
    </row>
    <row r="357" spans="1:1" x14ac:dyDescent="0.45">
      <c r="A357" t="s">
        <v>442</v>
      </c>
    </row>
    <row r="358" spans="1:1" x14ac:dyDescent="0.45">
      <c r="A358" t="s">
        <v>443</v>
      </c>
    </row>
    <row r="359" spans="1:1" x14ac:dyDescent="0.45">
      <c r="A359" t="s">
        <v>444</v>
      </c>
    </row>
    <row r="360" spans="1:1" x14ac:dyDescent="0.45">
      <c r="A360" t="s">
        <v>445</v>
      </c>
    </row>
    <row r="361" spans="1:1" x14ac:dyDescent="0.45">
      <c r="A361" t="s">
        <v>446</v>
      </c>
    </row>
    <row r="362" spans="1:1" x14ac:dyDescent="0.45">
      <c r="A362" t="s">
        <v>447</v>
      </c>
    </row>
    <row r="363" spans="1:1" x14ac:dyDescent="0.45">
      <c r="A363" t="s">
        <v>448</v>
      </c>
    </row>
    <row r="364" spans="1:1" x14ac:dyDescent="0.45">
      <c r="A364" t="s">
        <v>449</v>
      </c>
    </row>
    <row r="365" spans="1:1" x14ac:dyDescent="0.45">
      <c r="A365" t="s">
        <v>450</v>
      </c>
    </row>
    <row r="366" spans="1:1" x14ac:dyDescent="0.45">
      <c r="A366" t="s">
        <v>451</v>
      </c>
    </row>
    <row r="367" spans="1:1" x14ac:dyDescent="0.45">
      <c r="A367" t="s">
        <v>452</v>
      </c>
    </row>
    <row r="368" spans="1:1" x14ac:dyDescent="0.45">
      <c r="A368" t="s">
        <v>453</v>
      </c>
    </row>
    <row r="369" spans="1:1" x14ac:dyDescent="0.45">
      <c r="A369" t="s">
        <v>454</v>
      </c>
    </row>
    <row r="370" spans="1:1" x14ac:dyDescent="0.45">
      <c r="A370" t="s">
        <v>455</v>
      </c>
    </row>
    <row r="371" spans="1:1" x14ac:dyDescent="0.45">
      <c r="A371" t="s">
        <v>456</v>
      </c>
    </row>
    <row r="372" spans="1:1" x14ac:dyDescent="0.45">
      <c r="A372" t="s">
        <v>457</v>
      </c>
    </row>
    <row r="373" spans="1:1" x14ac:dyDescent="0.45">
      <c r="A373" t="s">
        <v>458</v>
      </c>
    </row>
    <row r="374" spans="1:1" x14ac:dyDescent="0.45">
      <c r="A374" t="s">
        <v>459</v>
      </c>
    </row>
    <row r="375" spans="1:1" x14ac:dyDescent="0.45">
      <c r="A375" t="s">
        <v>460</v>
      </c>
    </row>
    <row r="376" spans="1:1" x14ac:dyDescent="0.45">
      <c r="A376" t="s">
        <v>461</v>
      </c>
    </row>
    <row r="377" spans="1:1" x14ac:dyDescent="0.45">
      <c r="A377" t="s">
        <v>462</v>
      </c>
    </row>
    <row r="378" spans="1:1" x14ac:dyDescent="0.45">
      <c r="A378" t="s">
        <v>463</v>
      </c>
    </row>
    <row r="379" spans="1:1" x14ac:dyDescent="0.45">
      <c r="A379" t="s">
        <v>464</v>
      </c>
    </row>
    <row r="380" spans="1:1" x14ac:dyDescent="0.45">
      <c r="A380" t="s">
        <v>465</v>
      </c>
    </row>
    <row r="381" spans="1:1" x14ac:dyDescent="0.45">
      <c r="A381" t="s">
        <v>466</v>
      </c>
    </row>
    <row r="382" spans="1:1" x14ac:dyDescent="0.45">
      <c r="A382" t="s">
        <v>467</v>
      </c>
    </row>
    <row r="383" spans="1:1" x14ac:dyDescent="0.45">
      <c r="A383" t="s">
        <v>468</v>
      </c>
    </row>
    <row r="384" spans="1:1" x14ac:dyDescent="0.45">
      <c r="A384" t="s">
        <v>469</v>
      </c>
    </row>
    <row r="385" spans="1:1" x14ac:dyDescent="0.45">
      <c r="A385" t="s">
        <v>470</v>
      </c>
    </row>
    <row r="386" spans="1:1" x14ac:dyDescent="0.45">
      <c r="A386" t="s">
        <v>471</v>
      </c>
    </row>
    <row r="387" spans="1:1" x14ac:dyDescent="0.45">
      <c r="A387" t="s">
        <v>472</v>
      </c>
    </row>
    <row r="388" spans="1:1" x14ac:dyDescent="0.45">
      <c r="A388" t="s">
        <v>473</v>
      </c>
    </row>
    <row r="389" spans="1:1" x14ac:dyDescent="0.45">
      <c r="A389" t="s">
        <v>474</v>
      </c>
    </row>
    <row r="390" spans="1:1" x14ac:dyDescent="0.45">
      <c r="A390" t="s">
        <v>475</v>
      </c>
    </row>
    <row r="391" spans="1:1" x14ac:dyDescent="0.45">
      <c r="A391" t="s">
        <v>476</v>
      </c>
    </row>
    <row r="392" spans="1:1" x14ac:dyDescent="0.45">
      <c r="A392" t="s">
        <v>477</v>
      </c>
    </row>
    <row r="393" spans="1:1" x14ac:dyDescent="0.45">
      <c r="A393" t="s">
        <v>478</v>
      </c>
    </row>
    <row r="394" spans="1:1" x14ac:dyDescent="0.45">
      <c r="A394" t="s">
        <v>479</v>
      </c>
    </row>
    <row r="395" spans="1:1" x14ac:dyDescent="0.45">
      <c r="A395" t="s">
        <v>480</v>
      </c>
    </row>
    <row r="396" spans="1:1" x14ac:dyDescent="0.45">
      <c r="A396" t="s">
        <v>481</v>
      </c>
    </row>
    <row r="397" spans="1:1" x14ac:dyDescent="0.45">
      <c r="A397" t="s">
        <v>482</v>
      </c>
    </row>
    <row r="398" spans="1:1" x14ac:dyDescent="0.45">
      <c r="A398" t="s">
        <v>483</v>
      </c>
    </row>
    <row r="399" spans="1:1" x14ac:dyDescent="0.45">
      <c r="A399" t="s">
        <v>484</v>
      </c>
    </row>
    <row r="400" spans="1:1" x14ac:dyDescent="0.45">
      <c r="A400" t="s">
        <v>485</v>
      </c>
    </row>
    <row r="401" spans="1:1" x14ac:dyDescent="0.45">
      <c r="A401" t="s">
        <v>486</v>
      </c>
    </row>
    <row r="402" spans="1:1" x14ac:dyDescent="0.45">
      <c r="A402" t="s">
        <v>487</v>
      </c>
    </row>
    <row r="403" spans="1:1" x14ac:dyDescent="0.45">
      <c r="A403" t="s">
        <v>488</v>
      </c>
    </row>
    <row r="404" spans="1:1" x14ac:dyDescent="0.45">
      <c r="A404" t="s">
        <v>489</v>
      </c>
    </row>
    <row r="405" spans="1:1" x14ac:dyDescent="0.45">
      <c r="A405" t="s">
        <v>490</v>
      </c>
    </row>
    <row r="406" spans="1:1" x14ac:dyDescent="0.45">
      <c r="A406" t="s">
        <v>491</v>
      </c>
    </row>
    <row r="407" spans="1:1" x14ac:dyDescent="0.45">
      <c r="A407" t="s">
        <v>492</v>
      </c>
    </row>
    <row r="408" spans="1:1" x14ac:dyDescent="0.45">
      <c r="A408" t="s">
        <v>493</v>
      </c>
    </row>
    <row r="409" spans="1:1" x14ac:dyDescent="0.45">
      <c r="A409" t="s">
        <v>494</v>
      </c>
    </row>
    <row r="410" spans="1:1" x14ac:dyDescent="0.45">
      <c r="A410" t="s">
        <v>495</v>
      </c>
    </row>
    <row r="411" spans="1:1" x14ac:dyDescent="0.45">
      <c r="A411" t="s">
        <v>496</v>
      </c>
    </row>
    <row r="412" spans="1:1" x14ac:dyDescent="0.45">
      <c r="A412" t="s">
        <v>497</v>
      </c>
    </row>
    <row r="413" spans="1:1" x14ac:dyDescent="0.45">
      <c r="A413" t="s">
        <v>498</v>
      </c>
    </row>
    <row r="414" spans="1:1" x14ac:dyDescent="0.45">
      <c r="A414" t="s">
        <v>499</v>
      </c>
    </row>
    <row r="415" spans="1:1" x14ac:dyDescent="0.45">
      <c r="A415" t="s">
        <v>500</v>
      </c>
    </row>
    <row r="416" spans="1:1" x14ac:dyDescent="0.45">
      <c r="A416" t="s">
        <v>501</v>
      </c>
    </row>
    <row r="417" spans="1:1" x14ac:dyDescent="0.45">
      <c r="A417" t="s">
        <v>502</v>
      </c>
    </row>
    <row r="418" spans="1:1" x14ac:dyDescent="0.45">
      <c r="A418" t="s">
        <v>503</v>
      </c>
    </row>
    <row r="419" spans="1:1" x14ac:dyDescent="0.45">
      <c r="A419" t="s">
        <v>504</v>
      </c>
    </row>
    <row r="420" spans="1:1" x14ac:dyDescent="0.45">
      <c r="A420" t="s">
        <v>505</v>
      </c>
    </row>
    <row r="421" spans="1:1" x14ac:dyDescent="0.45">
      <c r="A421" t="s">
        <v>506</v>
      </c>
    </row>
    <row r="422" spans="1:1" x14ac:dyDescent="0.45">
      <c r="A422" t="s">
        <v>507</v>
      </c>
    </row>
    <row r="423" spans="1:1" x14ac:dyDescent="0.45">
      <c r="A423" t="s">
        <v>508</v>
      </c>
    </row>
    <row r="424" spans="1:1" x14ac:dyDescent="0.45">
      <c r="A424" t="s">
        <v>509</v>
      </c>
    </row>
    <row r="425" spans="1:1" x14ac:dyDescent="0.45">
      <c r="A425" t="s">
        <v>510</v>
      </c>
    </row>
    <row r="426" spans="1:1" x14ac:dyDescent="0.45">
      <c r="A426" t="s">
        <v>511</v>
      </c>
    </row>
    <row r="427" spans="1:1" x14ac:dyDescent="0.45">
      <c r="A427" t="s">
        <v>512</v>
      </c>
    </row>
    <row r="428" spans="1:1" x14ac:dyDescent="0.45">
      <c r="A428" t="s">
        <v>513</v>
      </c>
    </row>
    <row r="429" spans="1:1" x14ac:dyDescent="0.45">
      <c r="A429" t="s">
        <v>514</v>
      </c>
    </row>
    <row r="430" spans="1:1" x14ac:dyDescent="0.45">
      <c r="A430" t="s">
        <v>515</v>
      </c>
    </row>
    <row r="431" spans="1:1" x14ac:dyDescent="0.45">
      <c r="A431" t="s">
        <v>516</v>
      </c>
    </row>
    <row r="432" spans="1:1" x14ac:dyDescent="0.45">
      <c r="A432" t="s">
        <v>517</v>
      </c>
    </row>
    <row r="433" spans="1:1" x14ac:dyDescent="0.45">
      <c r="A433" t="s">
        <v>518</v>
      </c>
    </row>
    <row r="434" spans="1:1" x14ac:dyDescent="0.45">
      <c r="A434" t="s">
        <v>519</v>
      </c>
    </row>
    <row r="435" spans="1:1" x14ac:dyDescent="0.45">
      <c r="A435" t="s">
        <v>520</v>
      </c>
    </row>
    <row r="436" spans="1:1" x14ac:dyDescent="0.45">
      <c r="A436" t="s">
        <v>521</v>
      </c>
    </row>
    <row r="437" spans="1:1" x14ac:dyDescent="0.45">
      <c r="A437" t="s">
        <v>522</v>
      </c>
    </row>
    <row r="438" spans="1:1" x14ac:dyDescent="0.45">
      <c r="A438" t="s">
        <v>523</v>
      </c>
    </row>
    <row r="439" spans="1:1" x14ac:dyDescent="0.45">
      <c r="A439" t="s">
        <v>524</v>
      </c>
    </row>
    <row r="440" spans="1:1" x14ac:dyDescent="0.45">
      <c r="A440" t="s">
        <v>525</v>
      </c>
    </row>
    <row r="441" spans="1:1" x14ac:dyDescent="0.45">
      <c r="A441" t="s">
        <v>526</v>
      </c>
    </row>
    <row r="442" spans="1:1" x14ac:dyDescent="0.45">
      <c r="A442" t="s">
        <v>527</v>
      </c>
    </row>
    <row r="443" spans="1:1" x14ac:dyDescent="0.45">
      <c r="A443" t="s">
        <v>528</v>
      </c>
    </row>
    <row r="444" spans="1:1" x14ac:dyDescent="0.45">
      <c r="A444" t="s">
        <v>529</v>
      </c>
    </row>
    <row r="445" spans="1:1" x14ac:dyDescent="0.45">
      <c r="A445" t="s">
        <v>530</v>
      </c>
    </row>
    <row r="446" spans="1:1" x14ac:dyDescent="0.45">
      <c r="A446" t="s">
        <v>531</v>
      </c>
    </row>
    <row r="447" spans="1:1" x14ac:dyDescent="0.45">
      <c r="A447" t="s">
        <v>532</v>
      </c>
    </row>
    <row r="448" spans="1:1" x14ac:dyDescent="0.45">
      <c r="A448" t="s">
        <v>533</v>
      </c>
    </row>
    <row r="449" spans="1:1" x14ac:dyDescent="0.45">
      <c r="A449" t="s">
        <v>534</v>
      </c>
    </row>
    <row r="450" spans="1:1" x14ac:dyDescent="0.45">
      <c r="A450" t="s">
        <v>535</v>
      </c>
    </row>
    <row r="451" spans="1:1" x14ac:dyDescent="0.45">
      <c r="A451" t="s">
        <v>536</v>
      </c>
    </row>
    <row r="452" spans="1:1" x14ac:dyDescent="0.45">
      <c r="A452" t="s">
        <v>537</v>
      </c>
    </row>
    <row r="453" spans="1:1" x14ac:dyDescent="0.45">
      <c r="A453" t="s">
        <v>538</v>
      </c>
    </row>
    <row r="454" spans="1:1" x14ac:dyDescent="0.45">
      <c r="A454" t="s">
        <v>539</v>
      </c>
    </row>
    <row r="455" spans="1:1" x14ac:dyDescent="0.45">
      <c r="A455" t="s">
        <v>540</v>
      </c>
    </row>
    <row r="456" spans="1:1" x14ac:dyDescent="0.45">
      <c r="A456" t="s">
        <v>541</v>
      </c>
    </row>
    <row r="457" spans="1:1" x14ac:dyDescent="0.45">
      <c r="A457" t="s">
        <v>542</v>
      </c>
    </row>
    <row r="458" spans="1:1" x14ac:dyDescent="0.45">
      <c r="A458" t="s">
        <v>543</v>
      </c>
    </row>
    <row r="459" spans="1:1" x14ac:dyDescent="0.45">
      <c r="A459" t="s">
        <v>544</v>
      </c>
    </row>
    <row r="460" spans="1:1" x14ac:dyDescent="0.45">
      <c r="A460" t="s">
        <v>545</v>
      </c>
    </row>
    <row r="461" spans="1:1" x14ac:dyDescent="0.45">
      <c r="A461" t="s">
        <v>546</v>
      </c>
    </row>
    <row r="462" spans="1:1" x14ac:dyDescent="0.45">
      <c r="A462" t="s">
        <v>547</v>
      </c>
    </row>
    <row r="463" spans="1:1" x14ac:dyDescent="0.45">
      <c r="A463" t="s">
        <v>548</v>
      </c>
    </row>
    <row r="464" spans="1:1" x14ac:dyDescent="0.45">
      <c r="A464" t="s">
        <v>549</v>
      </c>
    </row>
    <row r="465" spans="1:1" x14ac:dyDescent="0.45">
      <c r="A465" t="s">
        <v>550</v>
      </c>
    </row>
    <row r="466" spans="1:1" x14ac:dyDescent="0.45">
      <c r="A466" t="s">
        <v>551</v>
      </c>
    </row>
    <row r="467" spans="1:1" x14ac:dyDescent="0.45">
      <c r="A467" t="s">
        <v>552</v>
      </c>
    </row>
    <row r="468" spans="1:1" x14ac:dyDescent="0.45">
      <c r="A468" t="s">
        <v>553</v>
      </c>
    </row>
    <row r="469" spans="1:1" x14ac:dyDescent="0.45">
      <c r="A469" t="s">
        <v>554</v>
      </c>
    </row>
    <row r="470" spans="1:1" x14ac:dyDescent="0.45">
      <c r="A470" t="s">
        <v>555</v>
      </c>
    </row>
    <row r="471" spans="1:1" x14ac:dyDescent="0.45">
      <c r="A471" t="s">
        <v>556</v>
      </c>
    </row>
    <row r="472" spans="1:1" x14ac:dyDescent="0.45">
      <c r="A472" t="s">
        <v>557</v>
      </c>
    </row>
    <row r="473" spans="1:1" x14ac:dyDescent="0.45">
      <c r="A473" t="s">
        <v>558</v>
      </c>
    </row>
    <row r="474" spans="1:1" x14ac:dyDescent="0.45">
      <c r="A474" t="s">
        <v>559</v>
      </c>
    </row>
    <row r="475" spans="1:1" x14ac:dyDescent="0.45">
      <c r="A475" t="s">
        <v>560</v>
      </c>
    </row>
    <row r="476" spans="1:1" x14ac:dyDescent="0.45">
      <c r="A476" t="s">
        <v>561</v>
      </c>
    </row>
    <row r="477" spans="1:1" x14ac:dyDescent="0.45">
      <c r="A477" t="s">
        <v>562</v>
      </c>
    </row>
    <row r="478" spans="1:1" x14ac:dyDescent="0.45">
      <c r="A478" t="s">
        <v>563</v>
      </c>
    </row>
    <row r="479" spans="1:1" x14ac:dyDescent="0.45">
      <c r="A479" t="s">
        <v>564</v>
      </c>
    </row>
    <row r="480" spans="1:1" x14ac:dyDescent="0.45">
      <c r="A480" t="s">
        <v>565</v>
      </c>
    </row>
    <row r="481" spans="1:1" x14ac:dyDescent="0.45">
      <c r="A481" t="s">
        <v>566</v>
      </c>
    </row>
    <row r="482" spans="1:1" x14ac:dyDescent="0.45">
      <c r="A482" t="s">
        <v>567</v>
      </c>
    </row>
    <row r="483" spans="1:1" x14ac:dyDescent="0.45">
      <c r="A483" t="s">
        <v>568</v>
      </c>
    </row>
    <row r="484" spans="1:1" x14ac:dyDescent="0.45">
      <c r="A484" t="s">
        <v>569</v>
      </c>
    </row>
    <row r="485" spans="1:1" x14ac:dyDescent="0.45">
      <c r="A485" t="s">
        <v>570</v>
      </c>
    </row>
    <row r="486" spans="1:1" x14ac:dyDescent="0.45">
      <c r="A486" t="s">
        <v>571</v>
      </c>
    </row>
    <row r="487" spans="1:1" x14ac:dyDescent="0.45">
      <c r="A487" t="s">
        <v>572</v>
      </c>
    </row>
    <row r="488" spans="1:1" x14ac:dyDescent="0.45">
      <c r="A488" t="s">
        <v>573</v>
      </c>
    </row>
    <row r="489" spans="1:1" x14ac:dyDescent="0.45">
      <c r="A489" t="s">
        <v>574</v>
      </c>
    </row>
    <row r="490" spans="1:1" x14ac:dyDescent="0.45">
      <c r="A490" t="s">
        <v>575</v>
      </c>
    </row>
    <row r="491" spans="1:1" x14ac:dyDescent="0.45">
      <c r="A491" t="s">
        <v>576</v>
      </c>
    </row>
    <row r="492" spans="1:1" x14ac:dyDescent="0.45">
      <c r="A492" t="s">
        <v>577</v>
      </c>
    </row>
    <row r="493" spans="1:1" x14ac:dyDescent="0.45">
      <c r="A493" t="s">
        <v>578</v>
      </c>
    </row>
    <row r="494" spans="1:1" x14ac:dyDescent="0.45">
      <c r="A494" t="s">
        <v>579</v>
      </c>
    </row>
    <row r="495" spans="1:1" x14ac:dyDescent="0.45">
      <c r="A495" t="s">
        <v>580</v>
      </c>
    </row>
    <row r="496" spans="1:1" x14ac:dyDescent="0.45">
      <c r="A496" t="s">
        <v>581</v>
      </c>
    </row>
    <row r="497" spans="1:1" x14ac:dyDescent="0.45">
      <c r="A497" t="s">
        <v>582</v>
      </c>
    </row>
    <row r="498" spans="1:1" x14ac:dyDescent="0.45">
      <c r="A498" t="s">
        <v>583</v>
      </c>
    </row>
    <row r="499" spans="1:1" x14ac:dyDescent="0.45">
      <c r="A499" t="s">
        <v>584</v>
      </c>
    </row>
    <row r="500" spans="1:1" x14ac:dyDescent="0.45">
      <c r="A500" t="s">
        <v>585</v>
      </c>
    </row>
    <row r="501" spans="1:1" x14ac:dyDescent="0.45">
      <c r="A501" t="s">
        <v>586</v>
      </c>
    </row>
    <row r="502" spans="1:1" x14ac:dyDescent="0.45">
      <c r="A502" t="s">
        <v>587</v>
      </c>
    </row>
    <row r="503" spans="1:1" x14ac:dyDescent="0.45">
      <c r="A503" t="s">
        <v>588</v>
      </c>
    </row>
    <row r="504" spans="1:1" x14ac:dyDescent="0.45">
      <c r="A504" t="s">
        <v>589</v>
      </c>
    </row>
    <row r="505" spans="1:1" x14ac:dyDescent="0.45">
      <c r="A505" t="s">
        <v>590</v>
      </c>
    </row>
    <row r="506" spans="1:1" x14ac:dyDescent="0.45">
      <c r="A506" t="s">
        <v>591</v>
      </c>
    </row>
    <row r="507" spans="1:1" x14ac:dyDescent="0.45">
      <c r="A507" t="s">
        <v>592</v>
      </c>
    </row>
    <row r="508" spans="1:1" x14ac:dyDescent="0.45">
      <c r="A508" t="s">
        <v>593</v>
      </c>
    </row>
    <row r="509" spans="1:1" x14ac:dyDescent="0.45">
      <c r="A509" t="s">
        <v>594</v>
      </c>
    </row>
    <row r="510" spans="1:1" x14ac:dyDescent="0.45">
      <c r="A510" t="s">
        <v>595</v>
      </c>
    </row>
    <row r="511" spans="1:1" x14ac:dyDescent="0.45">
      <c r="A511" t="s">
        <v>596</v>
      </c>
    </row>
    <row r="512" spans="1:1" x14ac:dyDescent="0.45">
      <c r="A512" t="s">
        <v>597</v>
      </c>
    </row>
    <row r="513" spans="1:1" x14ac:dyDescent="0.45">
      <c r="A513" t="s">
        <v>598</v>
      </c>
    </row>
    <row r="514" spans="1:1" x14ac:dyDescent="0.45">
      <c r="A514" t="s">
        <v>599</v>
      </c>
    </row>
    <row r="515" spans="1:1" x14ac:dyDescent="0.45">
      <c r="A515" t="s">
        <v>600</v>
      </c>
    </row>
    <row r="516" spans="1:1" x14ac:dyDescent="0.45">
      <c r="A516" t="s">
        <v>601</v>
      </c>
    </row>
    <row r="517" spans="1:1" x14ac:dyDescent="0.45">
      <c r="A517" t="s">
        <v>602</v>
      </c>
    </row>
    <row r="518" spans="1:1" x14ac:dyDescent="0.45">
      <c r="A518" t="s">
        <v>603</v>
      </c>
    </row>
    <row r="519" spans="1:1" x14ac:dyDescent="0.45">
      <c r="A519" t="s">
        <v>604</v>
      </c>
    </row>
    <row r="520" spans="1:1" x14ac:dyDescent="0.45">
      <c r="A520" t="s">
        <v>605</v>
      </c>
    </row>
    <row r="521" spans="1:1" x14ac:dyDescent="0.45">
      <c r="A521" t="s">
        <v>606</v>
      </c>
    </row>
    <row r="522" spans="1:1" x14ac:dyDescent="0.45">
      <c r="A522" t="s">
        <v>607</v>
      </c>
    </row>
    <row r="523" spans="1:1" x14ac:dyDescent="0.45">
      <c r="A523" t="s">
        <v>608</v>
      </c>
    </row>
    <row r="524" spans="1:1" x14ac:dyDescent="0.45">
      <c r="A524" t="s">
        <v>609</v>
      </c>
    </row>
    <row r="525" spans="1:1" x14ac:dyDescent="0.45">
      <c r="A525" t="s">
        <v>610</v>
      </c>
    </row>
    <row r="526" spans="1:1" x14ac:dyDescent="0.45">
      <c r="A526" t="s">
        <v>611</v>
      </c>
    </row>
    <row r="527" spans="1:1" x14ac:dyDescent="0.45">
      <c r="A527" t="s">
        <v>612</v>
      </c>
    </row>
    <row r="528" spans="1:1" x14ac:dyDescent="0.45">
      <c r="A528" t="s">
        <v>613</v>
      </c>
    </row>
    <row r="529" spans="1:1" x14ac:dyDescent="0.45">
      <c r="A529" t="s">
        <v>614</v>
      </c>
    </row>
    <row r="530" spans="1:1" x14ac:dyDescent="0.45">
      <c r="A530" t="s">
        <v>615</v>
      </c>
    </row>
    <row r="531" spans="1:1" x14ac:dyDescent="0.45">
      <c r="A531" t="s">
        <v>616</v>
      </c>
    </row>
    <row r="532" spans="1:1" x14ac:dyDescent="0.45">
      <c r="A532" t="s">
        <v>617</v>
      </c>
    </row>
    <row r="533" spans="1:1" x14ac:dyDescent="0.45">
      <c r="A533" t="s">
        <v>618</v>
      </c>
    </row>
    <row r="534" spans="1:1" x14ac:dyDescent="0.45">
      <c r="A534" t="s">
        <v>619</v>
      </c>
    </row>
    <row r="535" spans="1:1" x14ac:dyDescent="0.45">
      <c r="A535" t="s">
        <v>620</v>
      </c>
    </row>
    <row r="536" spans="1:1" x14ac:dyDescent="0.45">
      <c r="A536" t="s">
        <v>621</v>
      </c>
    </row>
    <row r="537" spans="1:1" x14ac:dyDescent="0.45">
      <c r="A537" t="s">
        <v>622</v>
      </c>
    </row>
    <row r="538" spans="1:1" x14ac:dyDescent="0.45">
      <c r="A538" t="s">
        <v>623</v>
      </c>
    </row>
    <row r="539" spans="1:1" x14ac:dyDescent="0.45">
      <c r="A539" t="s">
        <v>624</v>
      </c>
    </row>
    <row r="540" spans="1:1" x14ac:dyDescent="0.45">
      <c r="A540" t="s">
        <v>625</v>
      </c>
    </row>
    <row r="541" spans="1:1" x14ac:dyDescent="0.45">
      <c r="A541" t="s">
        <v>626</v>
      </c>
    </row>
    <row r="542" spans="1:1" x14ac:dyDescent="0.45">
      <c r="A542" t="s">
        <v>627</v>
      </c>
    </row>
    <row r="543" spans="1:1" x14ac:dyDescent="0.45">
      <c r="A543" t="s">
        <v>628</v>
      </c>
    </row>
    <row r="544" spans="1:1" x14ac:dyDescent="0.45">
      <c r="A544" t="s">
        <v>629</v>
      </c>
    </row>
    <row r="545" spans="1:1" x14ac:dyDescent="0.45">
      <c r="A545" t="s">
        <v>630</v>
      </c>
    </row>
    <row r="546" spans="1:1" x14ac:dyDescent="0.45">
      <c r="A546" t="s">
        <v>631</v>
      </c>
    </row>
    <row r="547" spans="1:1" x14ac:dyDescent="0.45">
      <c r="A547" t="s">
        <v>632</v>
      </c>
    </row>
    <row r="548" spans="1:1" x14ac:dyDescent="0.45">
      <c r="A548" t="s">
        <v>633</v>
      </c>
    </row>
    <row r="549" spans="1:1" x14ac:dyDescent="0.45">
      <c r="A549" t="s">
        <v>634</v>
      </c>
    </row>
    <row r="550" spans="1:1" x14ac:dyDescent="0.45">
      <c r="A550" t="s">
        <v>635</v>
      </c>
    </row>
    <row r="551" spans="1:1" x14ac:dyDescent="0.45">
      <c r="A551" t="s">
        <v>636</v>
      </c>
    </row>
    <row r="552" spans="1:1" x14ac:dyDescent="0.45">
      <c r="A552" t="s">
        <v>637</v>
      </c>
    </row>
    <row r="553" spans="1:1" x14ac:dyDescent="0.45">
      <c r="A553" t="s">
        <v>638</v>
      </c>
    </row>
    <row r="554" spans="1:1" x14ac:dyDescent="0.45">
      <c r="A554" t="s">
        <v>639</v>
      </c>
    </row>
    <row r="555" spans="1:1" x14ac:dyDescent="0.45">
      <c r="A555" t="s">
        <v>640</v>
      </c>
    </row>
    <row r="556" spans="1:1" x14ac:dyDescent="0.45">
      <c r="A556" t="s">
        <v>641</v>
      </c>
    </row>
    <row r="557" spans="1:1" x14ac:dyDescent="0.45">
      <c r="A557" t="s">
        <v>642</v>
      </c>
    </row>
    <row r="558" spans="1:1" x14ac:dyDescent="0.45">
      <c r="A558" t="s">
        <v>643</v>
      </c>
    </row>
    <row r="559" spans="1:1" x14ac:dyDescent="0.45">
      <c r="A559" t="s">
        <v>644</v>
      </c>
    </row>
    <row r="560" spans="1:1" x14ac:dyDescent="0.45">
      <c r="A560" t="s">
        <v>645</v>
      </c>
    </row>
    <row r="561" spans="1:1" x14ac:dyDescent="0.45">
      <c r="A561" t="s">
        <v>646</v>
      </c>
    </row>
    <row r="562" spans="1:1" x14ac:dyDescent="0.45">
      <c r="A562" t="s">
        <v>647</v>
      </c>
    </row>
    <row r="563" spans="1:1" x14ac:dyDescent="0.45">
      <c r="A563" t="s">
        <v>648</v>
      </c>
    </row>
    <row r="564" spans="1:1" x14ac:dyDescent="0.45">
      <c r="A564" t="s">
        <v>649</v>
      </c>
    </row>
    <row r="565" spans="1:1" x14ac:dyDescent="0.45">
      <c r="A565" t="s">
        <v>650</v>
      </c>
    </row>
    <row r="566" spans="1:1" x14ac:dyDescent="0.45">
      <c r="A566" t="s">
        <v>651</v>
      </c>
    </row>
    <row r="567" spans="1:1" x14ac:dyDescent="0.45">
      <c r="A567" t="s">
        <v>652</v>
      </c>
    </row>
    <row r="568" spans="1:1" x14ac:dyDescent="0.45">
      <c r="A568" t="s">
        <v>653</v>
      </c>
    </row>
    <row r="569" spans="1:1" x14ac:dyDescent="0.45">
      <c r="A569" t="s">
        <v>654</v>
      </c>
    </row>
    <row r="570" spans="1:1" x14ac:dyDescent="0.45">
      <c r="A570" t="s">
        <v>655</v>
      </c>
    </row>
    <row r="571" spans="1:1" x14ac:dyDescent="0.45">
      <c r="A571" t="s">
        <v>656</v>
      </c>
    </row>
    <row r="572" spans="1:1" x14ac:dyDescent="0.45">
      <c r="A572" t="s">
        <v>657</v>
      </c>
    </row>
    <row r="573" spans="1:1" x14ac:dyDescent="0.45">
      <c r="A573" t="s">
        <v>658</v>
      </c>
    </row>
    <row r="574" spans="1:1" x14ac:dyDescent="0.45">
      <c r="A574" t="s">
        <v>659</v>
      </c>
    </row>
    <row r="575" spans="1:1" x14ac:dyDescent="0.45">
      <c r="A575" t="s">
        <v>660</v>
      </c>
    </row>
    <row r="576" spans="1:1" x14ac:dyDescent="0.45">
      <c r="A576" t="s">
        <v>661</v>
      </c>
    </row>
    <row r="577" spans="1:1" x14ac:dyDescent="0.45">
      <c r="A577" t="s">
        <v>662</v>
      </c>
    </row>
    <row r="578" spans="1:1" x14ac:dyDescent="0.45">
      <c r="A578" t="s">
        <v>663</v>
      </c>
    </row>
    <row r="579" spans="1:1" x14ac:dyDescent="0.45">
      <c r="A579" t="s">
        <v>664</v>
      </c>
    </row>
    <row r="580" spans="1:1" x14ac:dyDescent="0.45">
      <c r="A580" t="s">
        <v>665</v>
      </c>
    </row>
    <row r="581" spans="1:1" x14ac:dyDescent="0.45">
      <c r="A581" t="s">
        <v>666</v>
      </c>
    </row>
    <row r="582" spans="1:1" x14ac:dyDescent="0.45">
      <c r="A582" t="s">
        <v>667</v>
      </c>
    </row>
    <row r="583" spans="1:1" x14ac:dyDescent="0.45">
      <c r="A583" t="s">
        <v>668</v>
      </c>
    </row>
    <row r="584" spans="1:1" x14ac:dyDescent="0.45">
      <c r="A584" t="s">
        <v>669</v>
      </c>
    </row>
    <row r="585" spans="1:1" x14ac:dyDescent="0.45">
      <c r="A585" t="s">
        <v>670</v>
      </c>
    </row>
    <row r="586" spans="1:1" x14ac:dyDescent="0.45">
      <c r="A586" t="s">
        <v>671</v>
      </c>
    </row>
    <row r="587" spans="1:1" x14ac:dyDescent="0.45">
      <c r="A587" t="s">
        <v>672</v>
      </c>
    </row>
    <row r="588" spans="1:1" x14ac:dyDescent="0.45">
      <c r="A588" t="s">
        <v>673</v>
      </c>
    </row>
    <row r="589" spans="1:1" x14ac:dyDescent="0.45">
      <c r="A589" t="s">
        <v>674</v>
      </c>
    </row>
    <row r="590" spans="1:1" x14ac:dyDescent="0.45">
      <c r="A590" t="s">
        <v>675</v>
      </c>
    </row>
    <row r="591" spans="1:1" x14ac:dyDescent="0.45">
      <c r="A591" t="s">
        <v>676</v>
      </c>
    </row>
    <row r="592" spans="1:1" x14ac:dyDescent="0.45">
      <c r="A592" t="s">
        <v>677</v>
      </c>
    </row>
    <row r="593" spans="1:1" x14ac:dyDescent="0.45">
      <c r="A593" t="s">
        <v>678</v>
      </c>
    </row>
    <row r="594" spans="1:1" x14ac:dyDescent="0.45">
      <c r="A594" t="s">
        <v>679</v>
      </c>
    </row>
    <row r="595" spans="1:1" x14ac:dyDescent="0.45">
      <c r="A595" t="s">
        <v>680</v>
      </c>
    </row>
    <row r="596" spans="1:1" x14ac:dyDescent="0.45">
      <c r="A596" t="s">
        <v>681</v>
      </c>
    </row>
    <row r="597" spans="1:1" x14ac:dyDescent="0.45">
      <c r="A597" t="s">
        <v>682</v>
      </c>
    </row>
    <row r="598" spans="1:1" x14ac:dyDescent="0.45">
      <c r="A598" t="s">
        <v>683</v>
      </c>
    </row>
    <row r="599" spans="1:1" x14ac:dyDescent="0.45">
      <c r="A599" t="s">
        <v>684</v>
      </c>
    </row>
    <row r="600" spans="1:1" x14ac:dyDescent="0.45">
      <c r="A600" t="s">
        <v>685</v>
      </c>
    </row>
    <row r="601" spans="1:1" x14ac:dyDescent="0.45">
      <c r="A601" t="s">
        <v>686</v>
      </c>
    </row>
    <row r="602" spans="1:1" x14ac:dyDescent="0.45">
      <c r="A602" t="s">
        <v>687</v>
      </c>
    </row>
    <row r="603" spans="1:1" x14ac:dyDescent="0.45">
      <c r="A603" t="s">
        <v>688</v>
      </c>
    </row>
    <row r="604" spans="1:1" x14ac:dyDescent="0.45">
      <c r="A604" t="s">
        <v>689</v>
      </c>
    </row>
    <row r="605" spans="1:1" x14ac:dyDescent="0.45">
      <c r="A605" t="s">
        <v>690</v>
      </c>
    </row>
    <row r="606" spans="1:1" x14ac:dyDescent="0.45">
      <c r="A606" t="s">
        <v>691</v>
      </c>
    </row>
    <row r="607" spans="1:1" x14ac:dyDescent="0.45">
      <c r="A607" t="s">
        <v>692</v>
      </c>
    </row>
    <row r="608" spans="1:1" x14ac:dyDescent="0.45">
      <c r="A608" t="s">
        <v>693</v>
      </c>
    </row>
    <row r="609" spans="1:1" x14ac:dyDescent="0.45">
      <c r="A609" t="s">
        <v>694</v>
      </c>
    </row>
    <row r="610" spans="1:1" x14ac:dyDescent="0.45">
      <c r="A610" t="s">
        <v>695</v>
      </c>
    </row>
    <row r="611" spans="1:1" x14ac:dyDescent="0.45">
      <c r="A611" t="s">
        <v>696</v>
      </c>
    </row>
    <row r="612" spans="1:1" x14ac:dyDescent="0.45">
      <c r="A612" t="s">
        <v>697</v>
      </c>
    </row>
    <row r="613" spans="1:1" x14ac:dyDescent="0.45">
      <c r="A613" t="s">
        <v>698</v>
      </c>
    </row>
    <row r="614" spans="1:1" x14ac:dyDescent="0.45">
      <c r="A614" t="s">
        <v>699</v>
      </c>
    </row>
    <row r="615" spans="1:1" x14ac:dyDescent="0.45">
      <c r="A615" t="s">
        <v>700</v>
      </c>
    </row>
    <row r="616" spans="1:1" x14ac:dyDescent="0.45">
      <c r="A616" t="s">
        <v>701</v>
      </c>
    </row>
    <row r="617" spans="1:1" x14ac:dyDescent="0.45">
      <c r="A617" t="s">
        <v>702</v>
      </c>
    </row>
    <row r="618" spans="1:1" x14ac:dyDescent="0.45">
      <c r="A618" t="s">
        <v>703</v>
      </c>
    </row>
    <row r="619" spans="1:1" x14ac:dyDescent="0.45">
      <c r="A619" t="s">
        <v>704</v>
      </c>
    </row>
    <row r="620" spans="1:1" x14ac:dyDescent="0.45">
      <c r="A620" t="s">
        <v>705</v>
      </c>
    </row>
    <row r="621" spans="1:1" x14ac:dyDescent="0.45">
      <c r="A621" t="s">
        <v>706</v>
      </c>
    </row>
    <row r="622" spans="1:1" x14ac:dyDescent="0.45">
      <c r="A622" t="s">
        <v>707</v>
      </c>
    </row>
    <row r="623" spans="1:1" x14ac:dyDescent="0.45">
      <c r="A623" t="s">
        <v>708</v>
      </c>
    </row>
    <row r="624" spans="1:1" x14ac:dyDescent="0.45">
      <c r="A624" t="s">
        <v>709</v>
      </c>
    </row>
    <row r="625" spans="1:1" x14ac:dyDescent="0.45">
      <c r="A625" t="s">
        <v>710</v>
      </c>
    </row>
    <row r="626" spans="1:1" x14ac:dyDescent="0.45">
      <c r="A626" t="s">
        <v>711</v>
      </c>
    </row>
    <row r="627" spans="1:1" x14ac:dyDescent="0.45">
      <c r="A627" t="s">
        <v>712</v>
      </c>
    </row>
    <row r="628" spans="1:1" x14ac:dyDescent="0.45">
      <c r="A628" t="s">
        <v>713</v>
      </c>
    </row>
    <row r="629" spans="1:1" x14ac:dyDescent="0.45">
      <c r="A629" t="s">
        <v>714</v>
      </c>
    </row>
    <row r="630" spans="1:1" x14ac:dyDescent="0.45">
      <c r="A630" t="s">
        <v>715</v>
      </c>
    </row>
    <row r="631" spans="1:1" x14ac:dyDescent="0.45">
      <c r="A631" t="s">
        <v>716</v>
      </c>
    </row>
    <row r="632" spans="1:1" x14ac:dyDescent="0.45">
      <c r="A632" t="s">
        <v>717</v>
      </c>
    </row>
    <row r="633" spans="1:1" x14ac:dyDescent="0.45">
      <c r="A633" t="s">
        <v>718</v>
      </c>
    </row>
    <row r="634" spans="1:1" x14ac:dyDescent="0.45">
      <c r="A634" t="s">
        <v>719</v>
      </c>
    </row>
    <row r="635" spans="1:1" x14ac:dyDescent="0.45">
      <c r="A635" t="s">
        <v>720</v>
      </c>
    </row>
    <row r="636" spans="1:1" x14ac:dyDescent="0.45">
      <c r="A636" t="s">
        <v>721</v>
      </c>
    </row>
    <row r="637" spans="1:1" x14ac:dyDescent="0.45">
      <c r="A637" t="s">
        <v>722</v>
      </c>
    </row>
    <row r="638" spans="1:1" x14ac:dyDescent="0.45">
      <c r="A638" t="s">
        <v>723</v>
      </c>
    </row>
    <row r="639" spans="1:1" x14ac:dyDescent="0.45">
      <c r="A639" t="s">
        <v>724</v>
      </c>
    </row>
    <row r="640" spans="1:1" x14ac:dyDescent="0.45">
      <c r="A640" t="s">
        <v>725</v>
      </c>
    </row>
    <row r="641" spans="1:1" x14ac:dyDescent="0.45">
      <c r="A641" t="s">
        <v>726</v>
      </c>
    </row>
    <row r="642" spans="1:1" x14ac:dyDescent="0.45">
      <c r="A642" t="s">
        <v>727</v>
      </c>
    </row>
    <row r="643" spans="1:1" x14ac:dyDescent="0.45">
      <c r="A643" t="s">
        <v>728</v>
      </c>
    </row>
    <row r="644" spans="1:1" x14ac:dyDescent="0.45">
      <c r="A644" t="s">
        <v>729</v>
      </c>
    </row>
    <row r="645" spans="1:1" x14ac:dyDescent="0.45">
      <c r="A645" t="s">
        <v>730</v>
      </c>
    </row>
    <row r="646" spans="1:1" x14ac:dyDescent="0.45">
      <c r="A646" t="s">
        <v>731</v>
      </c>
    </row>
    <row r="647" spans="1:1" x14ac:dyDescent="0.45">
      <c r="A647" t="s">
        <v>732</v>
      </c>
    </row>
    <row r="648" spans="1:1" x14ac:dyDescent="0.45">
      <c r="A648" t="s">
        <v>733</v>
      </c>
    </row>
    <row r="649" spans="1:1" x14ac:dyDescent="0.45">
      <c r="A649" t="s">
        <v>734</v>
      </c>
    </row>
    <row r="650" spans="1:1" x14ac:dyDescent="0.45">
      <c r="A650" t="s">
        <v>735</v>
      </c>
    </row>
    <row r="651" spans="1:1" x14ac:dyDescent="0.45">
      <c r="A651" t="s">
        <v>736</v>
      </c>
    </row>
    <row r="652" spans="1:1" x14ac:dyDescent="0.45">
      <c r="A652" t="s">
        <v>737</v>
      </c>
    </row>
    <row r="653" spans="1:1" x14ac:dyDescent="0.45">
      <c r="A653" t="s">
        <v>738</v>
      </c>
    </row>
    <row r="654" spans="1:1" x14ac:dyDescent="0.45">
      <c r="A654" t="s">
        <v>739</v>
      </c>
    </row>
    <row r="655" spans="1:1" x14ac:dyDescent="0.45">
      <c r="A655" t="s">
        <v>740</v>
      </c>
    </row>
    <row r="656" spans="1:1" x14ac:dyDescent="0.45">
      <c r="A656" t="s">
        <v>741</v>
      </c>
    </row>
    <row r="657" spans="1:1" x14ac:dyDescent="0.45">
      <c r="A657" t="s">
        <v>742</v>
      </c>
    </row>
    <row r="658" spans="1:1" x14ac:dyDescent="0.45">
      <c r="A658" t="s">
        <v>743</v>
      </c>
    </row>
    <row r="659" spans="1:1" x14ac:dyDescent="0.45">
      <c r="A659" t="s">
        <v>744</v>
      </c>
    </row>
    <row r="660" spans="1:1" x14ac:dyDescent="0.45">
      <c r="A660" t="s">
        <v>745</v>
      </c>
    </row>
    <row r="661" spans="1:1" x14ac:dyDescent="0.45">
      <c r="A661" t="s">
        <v>746</v>
      </c>
    </row>
    <row r="662" spans="1:1" x14ac:dyDescent="0.45">
      <c r="A662" t="s">
        <v>747</v>
      </c>
    </row>
    <row r="663" spans="1:1" x14ac:dyDescent="0.45">
      <c r="A663" t="s">
        <v>748</v>
      </c>
    </row>
    <row r="664" spans="1:1" x14ac:dyDescent="0.45">
      <c r="A664" t="s">
        <v>749</v>
      </c>
    </row>
    <row r="665" spans="1:1" x14ac:dyDescent="0.45">
      <c r="A665" t="s">
        <v>750</v>
      </c>
    </row>
    <row r="666" spans="1:1" x14ac:dyDescent="0.45">
      <c r="A666" t="s">
        <v>751</v>
      </c>
    </row>
    <row r="667" spans="1:1" x14ac:dyDescent="0.45">
      <c r="A667" t="s">
        <v>752</v>
      </c>
    </row>
    <row r="668" spans="1:1" x14ac:dyDescent="0.45">
      <c r="A668" t="s">
        <v>753</v>
      </c>
    </row>
    <row r="669" spans="1:1" x14ac:dyDescent="0.45">
      <c r="A669" t="s">
        <v>754</v>
      </c>
    </row>
    <row r="670" spans="1:1" x14ac:dyDescent="0.45">
      <c r="A670" t="s">
        <v>755</v>
      </c>
    </row>
    <row r="671" spans="1:1" x14ac:dyDescent="0.45">
      <c r="A671" t="s">
        <v>756</v>
      </c>
    </row>
    <row r="672" spans="1:1" x14ac:dyDescent="0.45">
      <c r="A672" t="s">
        <v>757</v>
      </c>
    </row>
    <row r="673" spans="1:1" x14ac:dyDescent="0.45">
      <c r="A673" t="s">
        <v>758</v>
      </c>
    </row>
    <row r="674" spans="1:1" x14ac:dyDescent="0.45">
      <c r="A674" t="s">
        <v>759</v>
      </c>
    </row>
    <row r="675" spans="1:1" x14ac:dyDescent="0.45">
      <c r="A675" t="s">
        <v>760</v>
      </c>
    </row>
    <row r="676" spans="1:1" x14ac:dyDescent="0.45">
      <c r="A676" t="s">
        <v>761</v>
      </c>
    </row>
    <row r="677" spans="1:1" x14ac:dyDescent="0.45">
      <c r="A677" t="s">
        <v>762</v>
      </c>
    </row>
    <row r="678" spans="1:1" x14ac:dyDescent="0.45">
      <c r="A678" t="s">
        <v>763</v>
      </c>
    </row>
    <row r="679" spans="1:1" x14ac:dyDescent="0.45">
      <c r="A679" t="s">
        <v>764</v>
      </c>
    </row>
    <row r="680" spans="1:1" x14ac:dyDescent="0.45">
      <c r="A680" t="s">
        <v>765</v>
      </c>
    </row>
    <row r="681" spans="1:1" x14ac:dyDescent="0.45">
      <c r="A681" t="s">
        <v>766</v>
      </c>
    </row>
    <row r="682" spans="1:1" x14ac:dyDescent="0.45">
      <c r="A682" t="s">
        <v>767</v>
      </c>
    </row>
    <row r="683" spans="1:1" x14ac:dyDescent="0.45">
      <c r="A683" t="s">
        <v>768</v>
      </c>
    </row>
    <row r="684" spans="1:1" x14ac:dyDescent="0.45">
      <c r="A684" t="s">
        <v>769</v>
      </c>
    </row>
    <row r="685" spans="1:1" x14ac:dyDescent="0.45">
      <c r="A685" t="s">
        <v>770</v>
      </c>
    </row>
    <row r="686" spans="1:1" x14ac:dyDescent="0.45">
      <c r="A686" t="s">
        <v>771</v>
      </c>
    </row>
    <row r="687" spans="1:1" x14ac:dyDescent="0.45">
      <c r="A687" t="s">
        <v>772</v>
      </c>
    </row>
    <row r="688" spans="1:1" x14ac:dyDescent="0.45">
      <c r="A688" t="s">
        <v>773</v>
      </c>
    </row>
    <row r="689" spans="1:1" x14ac:dyDescent="0.45">
      <c r="A689" t="s">
        <v>774</v>
      </c>
    </row>
    <row r="690" spans="1:1" x14ac:dyDescent="0.45">
      <c r="A690" t="s">
        <v>775</v>
      </c>
    </row>
    <row r="691" spans="1:1" x14ac:dyDescent="0.45">
      <c r="A691" t="s">
        <v>776</v>
      </c>
    </row>
    <row r="692" spans="1:1" x14ac:dyDescent="0.45">
      <c r="A692" t="s">
        <v>777</v>
      </c>
    </row>
    <row r="693" spans="1:1" x14ac:dyDescent="0.45">
      <c r="A693" t="s">
        <v>778</v>
      </c>
    </row>
    <row r="694" spans="1:1" x14ac:dyDescent="0.45">
      <c r="A694" t="s">
        <v>779</v>
      </c>
    </row>
    <row r="695" spans="1:1" x14ac:dyDescent="0.45">
      <c r="A695" t="s">
        <v>780</v>
      </c>
    </row>
    <row r="696" spans="1:1" x14ac:dyDescent="0.45">
      <c r="A696" t="s">
        <v>781</v>
      </c>
    </row>
    <row r="697" spans="1:1" x14ac:dyDescent="0.45">
      <c r="A697" t="s">
        <v>782</v>
      </c>
    </row>
    <row r="698" spans="1:1" x14ac:dyDescent="0.45">
      <c r="A698" t="s">
        <v>783</v>
      </c>
    </row>
    <row r="699" spans="1:1" x14ac:dyDescent="0.45">
      <c r="A699" t="s">
        <v>784</v>
      </c>
    </row>
    <row r="700" spans="1:1" x14ac:dyDescent="0.45">
      <c r="A700" t="s">
        <v>785</v>
      </c>
    </row>
    <row r="701" spans="1:1" x14ac:dyDescent="0.45">
      <c r="A701" t="s">
        <v>786</v>
      </c>
    </row>
    <row r="702" spans="1:1" x14ac:dyDescent="0.45">
      <c r="A702" t="s">
        <v>787</v>
      </c>
    </row>
    <row r="703" spans="1:1" x14ac:dyDescent="0.45">
      <c r="A703" t="s">
        <v>788</v>
      </c>
    </row>
    <row r="704" spans="1:1" x14ac:dyDescent="0.45">
      <c r="A704" t="s">
        <v>789</v>
      </c>
    </row>
    <row r="705" spans="1:1" x14ac:dyDescent="0.45">
      <c r="A705" t="s">
        <v>790</v>
      </c>
    </row>
    <row r="706" spans="1:1" x14ac:dyDescent="0.45">
      <c r="A706" t="s">
        <v>791</v>
      </c>
    </row>
    <row r="707" spans="1:1" x14ac:dyDescent="0.45">
      <c r="A707" t="s">
        <v>792</v>
      </c>
    </row>
    <row r="708" spans="1:1" x14ac:dyDescent="0.45">
      <c r="A708" t="s">
        <v>793</v>
      </c>
    </row>
    <row r="709" spans="1:1" x14ac:dyDescent="0.45">
      <c r="A709" t="s">
        <v>794</v>
      </c>
    </row>
    <row r="710" spans="1:1" x14ac:dyDescent="0.45">
      <c r="A710" t="s">
        <v>795</v>
      </c>
    </row>
    <row r="711" spans="1:1" x14ac:dyDescent="0.45">
      <c r="A711" t="s">
        <v>796</v>
      </c>
    </row>
    <row r="712" spans="1:1" x14ac:dyDescent="0.45">
      <c r="A712" t="s">
        <v>797</v>
      </c>
    </row>
    <row r="713" spans="1:1" x14ac:dyDescent="0.45">
      <c r="A713" t="s">
        <v>798</v>
      </c>
    </row>
    <row r="714" spans="1:1" x14ac:dyDescent="0.45">
      <c r="A714" t="s">
        <v>799</v>
      </c>
    </row>
    <row r="715" spans="1:1" x14ac:dyDescent="0.45">
      <c r="A715" t="s">
        <v>800</v>
      </c>
    </row>
    <row r="716" spans="1:1" x14ac:dyDescent="0.45">
      <c r="A716" t="s">
        <v>801</v>
      </c>
    </row>
    <row r="717" spans="1:1" x14ac:dyDescent="0.45">
      <c r="A717" t="s">
        <v>802</v>
      </c>
    </row>
    <row r="718" spans="1:1" x14ac:dyDescent="0.45">
      <c r="A718" t="s">
        <v>803</v>
      </c>
    </row>
    <row r="719" spans="1:1" x14ac:dyDescent="0.45">
      <c r="A719" t="s">
        <v>804</v>
      </c>
    </row>
    <row r="720" spans="1:1" x14ac:dyDescent="0.45">
      <c r="A720" t="s">
        <v>805</v>
      </c>
    </row>
    <row r="721" spans="1:1" x14ac:dyDescent="0.45">
      <c r="A721" t="s">
        <v>806</v>
      </c>
    </row>
    <row r="722" spans="1:1" x14ac:dyDescent="0.45">
      <c r="A722" t="s">
        <v>807</v>
      </c>
    </row>
    <row r="723" spans="1:1" x14ac:dyDescent="0.45">
      <c r="A723" t="s">
        <v>808</v>
      </c>
    </row>
    <row r="724" spans="1:1" x14ac:dyDescent="0.45">
      <c r="A724" t="s">
        <v>809</v>
      </c>
    </row>
    <row r="725" spans="1:1" x14ac:dyDescent="0.45">
      <c r="A725" t="s">
        <v>810</v>
      </c>
    </row>
    <row r="726" spans="1:1" x14ac:dyDescent="0.45">
      <c r="A726" t="s">
        <v>811</v>
      </c>
    </row>
    <row r="727" spans="1:1" x14ac:dyDescent="0.45">
      <c r="A727" t="s">
        <v>812</v>
      </c>
    </row>
    <row r="728" spans="1:1" x14ac:dyDescent="0.45">
      <c r="A728" t="s">
        <v>813</v>
      </c>
    </row>
    <row r="729" spans="1:1" x14ac:dyDescent="0.45">
      <c r="A729" t="s">
        <v>814</v>
      </c>
    </row>
    <row r="730" spans="1:1" x14ac:dyDescent="0.45">
      <c r="A730" t="s">
        <v>815</v>
      </c>
    </row>
    <row r="731" spans="1:1" x14ac:dyDescent="0.45">
      <c r="A731" t="s">
        <v>816</v>
      </c>
    </row>
    <row r="732" spans="1:1" x14ac:dyDescent="0.45">
      <c r="A732" t="s">
        <v>817</v>
      </c>
    </row>
    <row r="733" spans="1:1" x14ac:dyDescent="0.45">
      <c r="A733" t="s">
        <v>818</v>
      </c>
    </row>
    <row r="734" spans="1:1" x14ac:dyDescent="0.45">
      <c r="A734" t="s">
        <v>819</v>
      </c>
    </row>
    <row r="735" spans="1:1" x14ac:dyDescent="0.45">
      <c r="A735" t="s">
        <v>820</v>
      </c>
    </row>
    <row r="736" spans="1:1" x14ac:dyDescent="0.45">
      <c r="A736" t="s">
        <v>821</v>
      </c>
    </row>
    <row r="737" spans="1:1" x14ac:dyDescent="0.45">
      <c r="A737" t="s">
        <v>822</v>
      </c>
    </row>
    <row r="738" spans="1:1" x14ac:dyDescent="0.45">
      <c r="A738" t="s">
        <v>823</v>
      </c>
    </row>
    <row r="739" spans="1:1" x14ac:dyDescent="0.45">
      <c r="A739" t="s">
        <v>824</v>
      </c>
    </row>
    <row r="740" spans="1:1" x14ac:dyDescent="0.45">
      <c r="A740" t="s">
        <v>825</v>
      </c>
    </row>
    <row r="741" spans="1:1" x14ac:dyDescent="0.45">
      <c r="A741" t="s">
        <v>826</v>
      </c>
    </row>
    <row r="742" spans="1:1" x14ac:dyDescent="0.45">
      <c r="A742" t="s">
        <v>827</v>
      </c>
    </row>
    <row r="743" spans="1:1" x14ac:dyDescent="0.45">
      <c r="A743" t="s">
        <v>828</v>
      </c>
    </row>
    <row r="744" spans="1:1" x14ac:dyDescent="0.45">
      <c r="A744" t="s">
        <v>829</v>
      </c>
    </row>
    <row r="745" spans="1:1" x14ac:dyDescent="0.45">
      <c r="A745" t="s">
        <v>830</v>
      </c>
    </row>
    <row r="746" spans="1:1" x14ac:dyDescent="0.45">
      <c r="A746" t="s">
        <v>831</v>
      </c>
    </row>
    <row r="747" spans="1:1" x14ac:dyDescent="0.45">
      <c r="A747" t="s">
        <v>832</v>
      </c>
    </row>
    <row r="748" spans="1:1" x14ac:dyDescent="0.45">
      <c r="A748" t="s">
        <v>833</v>
      </c>
    </row>
    <row r="749" spans="1:1" x14ac:dyDescent="0.45">
      <c r="A749" t="s">
        <v>834</v>
      </c>
    </row>
    <row r="750" spans="1:1" x14ac:dyDescent="0.45">
      <c r="A750" t="s">
        <v>835</v>
      </c>
    </row>
    <row r="751" spans="1:1" x14ac:dyDescent="0.45">
      <c r="A751" t="s">
        <v>836</v>
      </c>
    </row>
    <row r="752" spans="1:1" x14ac:dyDescent="0.45">
      <c r="A752" t="s">
        <v>837</v>
      </c>
    </row>
    <row r="753" spans="1:1" x14ac:dyDescent="0.45">
      <c r="A753" t="s">
        <v>838</v>
      </c>
    </row>
    <row r="754" spans="1:1" x14ac:dyDescent="0.45">
      <c r="A754" t="s">
        <v>839</v>
      </c>
    </row>
    <row r="755" spans="1:1" x14ac:dyDescent="0.45">
      <c r="A755" t="s">
        <v>840</v>
      </c>
    </row>
    <row r="756" spans="1:1" x14ac:dyDescent="0.45">
      <c r="A756" t="s">
        <v>841</v>
      </c>
    </row>
    <row r="757" spans="1:1" x14ac:dyDescent="0.45">
      <c r="A757" t="s">
        <v>842</v>
      </c>
    </row>
    <row r="758" spans="1:1" x14ac:dyDescent="0.45">
      <c r="A758" t="s">
        <v>843</v>
      </c>
    </row>
    <row r="759" spans="1:1" x14ac:dyDescent="0.45">
      <c r="A759" t="s">
        <v>844</v>
      </c>
    </row>
    <row r="760" spans="1:1" x14ac:dyDescent="0.45">
      <c r="A760" t="s">
        <v>845</v>
      </c>
    </row>
    <row r="761" spans="1:1" x14ac:dyDescent="0.45">
      <c r="A761" t="s">
        <v>846</v>
      </c>
    </row>
    <row r="762" spans="1:1" x14ac:dyDescent="0.45">
      <c r="A762" t="s">
        <v>847</v>
      </c>
    </row>
    <row r="763" spans="1:1" x14ac:dyDescent="0.45">
      <c r="A763" t="s">
        <v>848</v>
      </c>
    </row>
    <row r="764" spans="1:1" x14ac:dyDescent="0.45">
      <c r="A764" t="s">
        <v>849</v>
      </c>
    </row>
    <row r="765" spans="1:1" x14ac:dyDescent="0.45">
      <c r="A765" t="s">
        <v>850</v>
      </c>
    </row>
    <row r="766" spans="1:1" x14ac:dyDescent="0.45">
      <c r="A766" t="s">
        <v>851</v>
      </c>
    </row>
    <row r="767" spans="1:1" x14ac:dyDescent="0.45">
      <c r="A767" t="s">
        <v>852</v>
      </c>
    </row>
    <row r="768" spans="1:1" x14ac:dyDescent="0.45">
      <c r="A768" t="s">
        <v>853</v>
      </c>
    </row>
    <row r="769" spans="1:1" x14ac:dyDescent="0.45">
      <c r="A769" t="s">
        <v>854</v>
      </c>
    </row>
    <row r="770" spans="1:1" x14ac:dyDescent="0.45">
      <c r="A770" t="s">
        <v>855</v>
      </c>
    </row>
    <row r="771" spans="1:1" x14ac:dyDescent="0.45">
      <c r="A771" t="s">
        <v>856</v>
      </c>
    </row>
    <row r="772" spans="1:1" x14ac:dyDescent="0.45">
      <c r="A772" t="s">
        <v>857</v>
      </c>
    </row>
    <row r="773" spans="1:1" x14ac:dyDescent="0.45">
      <c r="A773" t="s">
        <v>858</v>
      </c>
    </row>
    <row r="774" spans="1:1" x14ac:dyDescent="0.45">
      <c r="A774" t="s">
        <v>859</v>
      </c>
    </row>
    <row r="775" spans="1:1" x14ac:dyDescent="0.45">
      <c r="A775" t="s">
        <v>860</v>
      </c>
    </row>
    <row r="776" spans="1:1" x14ac:dyDescent="0.45">
      <c r="A776" t="s">
        <v>861</v>
      </c>
    </row>
    <row r="777" spans="1:1" x14ac:dyDescent="0.45">
      <c r="A777" t="s">
        <v>862</v>
      </c>
    </row>
    <row r="778" spans="1:1" x14ac:dyDescent="0.45">
      <c r="A778" t="s">
        <v>863</v>
      </c>
    </row>
    <row r="779" spans="1:1" x14ac:dyDescent="0.45">
      <c r="A779" t="s">
        <v>864</v>
      </c>
    </row>
    <row r="780" spans="1:1" x14ac:dyDescent="0.45">
      <c r="A780" t="s">
        <v>865</v>
      </c>
    </row>
    <row r="781" spans="1:1" x14ac:dyDescent="0.45">
      <c r="A781" t="s">
        <v>866</v>
      </c>
    </row>
    <row r="782" spans="1:1" x14ac:dyDescent="0.45">
      <c r="A782" t="s">
        <v>867</v>
      </c>
    </row>
    <row r="783" spans="1:1" x14ac:dyDescent="0.45">
      <c r="A783" t="s">
        <v>868</v>
      </c>
    </row>
    <row r="784" spans="1:1" x14ac:dyDescent="0.45">
      <c r="A784" t="s">
        <v>869</v>
      </c>
    </row>
    <row r="785" spans="1:1" x14ac:dyDescent="0.45">
      <c r="A785" t="s">
        <v>870</v>
      </c>
    </row>
    <row r="786" spans="1:1" x14ac:dyDescent="0.45">
      <c r="A786" t="s">
        <v>871</v>
      </c>
    </row>
    <row r="787" spans="1:1" x14ac:dyDescent="0.45">
      <c r="A787" t="s">
        <v>872</v>
      </c>
    </row>
    <row r="788" spans="1:1" x14ac:dyDescent="0.45">
      <c r="A788" t="s">
        <v>873</v>
      </c>
    </row>
    <row r="789" spans="1:1" x14ac:dyDescent="0.45">
      <c r="A789" t="s">
        <v>874</v>
      </c>
    </row>
    <row r="790" spans="1:1" x14ac:dyDescent="0.45">
      <c r="A790" t="s">
        <v>875</v>
      </c>
    </row>
    <row r="791" spans="1:1" x14ac:dyDescent="0.45">
      <c r="A791" t="s">
        <v>876</v>
      </c>
    </row>
    <row r="792" spans="1:1" x14ac:dyDescent="0.45">
      <c r="A792" t="s">
        <v>877</v>
      </c>
    </row>
    <row r="793" spans="1:1" x14ac:dyDescent="0.45">
      <c r="A793" t="s">
        <v>878</v>
      </c>
    </row>
    <row r="794" spans="1:1" x14ac:dyDescent="0.45">
      <c r="A794" t="s">
        <v>879</v>
      </c>
    </row>
    <row r="795" spans="1:1" x14ac:dyDescent="0.45">
      <c r="A795" t="s">
        <v>880</v>
      </c>
    </row>
    <row r="796" spans="1:1" x14ac:dyDescent="0.45">
      <c r="A796" t="s">
        <v>881</v>
      </c>
    </row>
    <row r="797" spans="1:1" x14ac:dyDescent="0.45">
      <c r="A797" t="s">
        <v>882</v>
      </c>
    </row>
    <row r="798" spans="1:1" x14ac:dyDescent="0.45">
      <c r="A798" t="s">
        <v>883</v>
      </c>
    </row>
    <row r="799" spans="1:1" x14ac:dyDescent="0.45">
      <c r="A799" t="s">
        <v>884</v>
      </c>
    </row>
    <row r="800" spans="1:1" x14ac:dyDescent="0.45">
      <c r="A800" t="s">
        <v>885</v>
      </c>
    </row>
    <row r="801" spans="1:1" x14ac:dyDescent="0.45">
      <c r="A801" t="s">
        <v>886</v>
      </c>
    </row>
    <row r="802" spans="1:1" x14ac:dyDescent="0.45">
      <c r="A802" t="s">
        <v>887</v>
      </c>
    </row>
    <row r="803" spans="1:1" x14ac:dyDescent="0.45">
      <c r="A803" t="s">
        <v>888</v>
      </c>
    </row>
    <row r="804" spans="1:1" x14ac:dyDescent="0.45">
      <c r="A804" t="s">
        <v>889</v>
      </c>
    </row>
    <row r="805" spans="1:1" x14ac:dyDescent="0.45">
      <c r="A805" t="s">
        <v>890</v>
      </c>
    </row>
    <row r="806" spans="1:1" x14ac:dyDescent="0.45">
      <c r="A806" t="s">
        <v>891</v>
      </c>
    </row>
    <row r="807" spans="1:1" x14ac:dyDescent="0.45">
      <c r="A807" t="s">
        <v>892</v>
      </c>
    </row>
    <row r="808" spans="1:1" x14ac:dyDescent="0.45">
      <c r="A808" t="s">
        <v>893</v>
      </c>
    </row>
    <row r="809" spans="1:1" x14ac:dyDescent="0.45">
      <c r="A809" t="s">
        <v>894</v>
      </c>
    </row>
    <row r="810" spans="1:1" x14ac:dyDescent="0.45">
      <c r="A810" t="s">
        <v>895</v>
      </c>
    </row>
    <row r="811" spans="1:1" x14ac:dyDescent="0.45">
      <c r="A811" t="s">
        <v>896</v>
      </c>
    </row>
    <row r="812" spans="1:1" x14ac:dyDescent="0.45">
      <c r="A812" t="s">
        <v>897</v>
      </c>
    </row>
    <row r="813" spans="1:1" x14ac:dyDescent="0.45">
      <c r="A813" t="s">
        <v>898</v>
      </c>
    </row>
    <row r="814" spans="1:1" x14ac:dyDescent="0.45">
      <c r="A814" t="s">
        <v>899</v>
      </c>
    </row>
    <row r="815" spans="1:1" x14ac:dyDescent="0.45">
      <c r="A815" t="s">
        <v>900</v>
      </c>
    </row>
    <row r="816" spans="1:1" x14ac:dyDescent="0.45">
      <c r="A816" t="s">
        <v>901</v>
      </c>
    </row>
    <row r="817" spans="1:1" x14ac:dyDescent="0.45">
      <c r="A817" t="s">
        <v>902</v>
      </c>
    </row>
    <row r="818" spans="1:1" x14ac:dyDescent="0.45">
      <c r="A818" t="s">
        <v>903</v>
      </c>
    </row>
    <row r="819" spans="1:1" x14ac:dyDescent="0.45">
      <c r="A819" t="s">
        <v>904</v>
      </c>
    </row>
    <row r="820" spans="1:1" x14ac:dyDescent="0.45">
      <c r="A820" t="s">
        <v>905</v>
      </c>
    </row>
    <row r="821" spans="1:1" x14ac:dyDescent="0.45">
      <c r="A821" t="s">
        <v>906</v>
      </c>
    </row>
    <row r="822" spans="1:1" x14ac:dyDescent="0.45">
      <c r="A822" t="s">
        <v>907</v>
      </c>
    </row>
    <row r="823" spans="1:1" x14ac:dyDescent="0.45">
      <c r="A823" t="s">
        <v>908</v>
      </c>
    </row>
    <row r="824" spans="1:1" x14ac:dyDescent="0.45">
      <c r="A824" t="s">
        <v>909</v>
      </c>
    </row>
    <row r="825" spans="1:1" x14ac:dyDescent="0.45">
      <c r="A825" t="s">
        <v>910</v>
      </c>
    </row>
    <row r="826" spans="1:1" x14ac:dyDescent="0.45">
      <c r="A826" t="s">
        <v>911</v>
      </c>
    </row>
    <row r="827" spans="1:1" x14ac:dyDescent="0.45">
      <c r="A827" t="s">
        <v>912</v>
      </c>
    </row>
    <row r="828" spans="1:1" x14ac:dyDescent="0.45">
      <c r="A828" t="s">
        <v>913</v>
      </c>
    </row>
    <row r="829" spans="1:1" x14ac:dyDescent="0.45">
      <c r="A829" t="s">
        <v>914</v>
      </c>
    </row>
    <row r="830" spans="1:1" x14ac:dyDescent="0.45">
      <c r="A830" t="s">
        <v>915</v>
      </c>
    </row>
    <row r="831" spans="1:1" x14ac:dyDescent="0.45">
      <c r="A831" t="s">
        <v>916</v>
      </c>
    </row>
    <row r="832" spans="1:1" x14ac:dyDescent="0.45">
      <c r="A832" t="s">
        <v>917</v>
      </c>
    </row>
    <row r="833" spans="1:1" x14ac:dyDescent="0.45">
      <c r="A833" t="s">
        <v>918</v>
      </c>
    </row>
    <row r="834" spans="1:1" x14ac:dyDescent="0.45">
      <c r="A834" t="s">
        <v>919</v>
      </c>
    </row>
    <row r="835" spans="1:1" x14ac:dyDescent="0.45">
      <c r="A835" t="s">
        <v>920</v>
      </c>
    </row>
    <row r="836" spans="1:1" x14ac:dyDescent="0.45">
      <c r="A836" t="s">
        <v>921</v>
      </c>
    </row>
    <row r="837" spans="1:1" x14ac:dyDescent="0.45">
      <c r="A837" t="s">
        <v>922</v>
      </c>
    </row>
    <row r="838" spans="1:1" x14ac:dyDescent="0.45">
      <c r="A838" t="s">
        <v>923</v>
      </c>
    </row>
    <row r="839" spans="1:1" x14ac:dyDescent="0.45">
      <c r="A839" t="s">
        <v>924</v>
      </c>
    </row>
    <row r="840" spans="1:1" x14ac:dyDescent="0.45">
      <c r="A840" t="s">
        <v>925</v>
      </c>
    </row>
    <row r="841" spans="1:1" x14ac:dyDescent="0.45">
      <c r="A841" t="s">
        <v>926</v>
      </c>
    </row>
    <row r="842" spans="1:1" x14ac:dyDescent="0.45">
      <c r="A842" t="s">
        <v>927</v>
      </c>
    </row>
    <row r="843" spans="1:1" x14ac:dyDescent="0.45">
      <c r="A843" t="s">
        <v>928</v>
      </c>
    </row>
    <row r="844" spans="1:1" x14ac:dyDescent="0.45">
      <c r="A844" t="s">
        <v>929</v>
      </c>
    </row>
    <row r="845" spans="1:1" x14ac:dyDescent="0.45">
      <c r="A845" t="s">
        <v>930</v>
      </c>
    </row>
    <row r="846" spans="1:1" x14ac:dyDescent="0.45">
      <c r="A846" t="s">
        <v>931</v>
      </c>
    </row>
    <row r="847" spans="1:1" x14ac:dyDescent="0.45">
      <c r="A847" t="s">
        <v>932</v>
      </c>
    </row>
    <row r="848" spans="1:1" x14ac:dyDescent="0.45">
      <c r="A848" t="s">
        <v>933</v>
      </c>
    </row>
    <row r="849" spans="1:1" x14ac:dyDescent="0.45">
      <c r="A849" t="s">
        <v>934</v>
      </c>
    </row>
    <row r="850" spans="1:1" x14ac:dyDescent="0.45">
      <c r="A850" t="s">
        <v>935</v>
      </c>
    </row>
    <row r="851" spans="1:1" x14ac:dyDescent="0.45">
      <c r="A851" t="s">
        <v>936</v>
      </c>
    </row>
    <row r="852" spans="1:1" x14ac:dyDescent="0.45">
      <c r="A852" t="s">
        <v>937</v>
      </c>
    </row>
    <row r="853" spans="1:1" x14ac:dyDescent="0.45">
      <c r="A853" t="s">
        <v>938</v>
      </c>
    </row>
    <row r="854" spans="1:1" x14ac:dyDescent="0.45">
      <c r="A854" t="s">
        <v>939</v>
      </c>
    </row>
    <row r="855" spans="1:1" x14ac:dyDescent="0.45">
      <c r="A855" t="s">
        <v>940</v>
      </c>
    </row>
    <row r="856" spans="1:1" x14ac:dyDescent="0.45">
      <c r="A856" t="s">
        <v>941</v>
      </c>
    </row>
    <row r="857" spans="1:1" x14ac:dyDescent="0.45">
      <c r="A857" t="s">
        <v>942</v>
      </c>
    </row>
    <row r="858" spans="1:1" x14ac:dyDescent="0.45">
      <c r="A858" t="s">
        <v>943</v>
      </c>
    </row>
    <row r="859" spans="1:1" x14ac:dyDescent="0.45">
      <c r="A859" t="s">
        <v>944</v>
      </c>
    </row>
    <row r="860" spans="1:1" x14ac:dyDescent="0.45">
      <c r="A860" t="s">
        <v>945</v>
      </c>
    </row>
    <row r="861" spans="1:1" x14ac:dyDescent="0.45">
      <c r="A861" t="s">
        <v>946</v>
      </c>
    </row>
    <row r="862" spans="1:1" x14ac:dyDescent="0.45">
      <c r="A862" t="s">
        <v>947</v>
      </c>
    </row>
    <row r="863" spans="1:1" x14ac:dyDescent="0.45">
      <c r="A863" t="s">
        <v>948</v>
      </c>
    </row>
    <row r="864" spans="1:1" x14ac:dyDescent="0.45">
      <c r="A864" t="s">
        <v>949</v>
      </c>
    </row>
    <row r="865" spans="1:1" x14ac:dyDescent="0.45">
      <c r="A865" t="s">
        <v>950</v>
      </c>
    </row>
    <row r="866" spans="1:1" x14ac:dyDescent="0.45">
      <c r="A866" t="s">
        <v>951</v>
      </c>
    </row>
    <row r="867" spans="1:1" x14ac:dyDescent="0.45">
      <c r="A867" t="s">
        <v>952</v>
      </c>
    </row>
    <row r="868" spans="1:1" x14ac:dyDescent="0.45">
      <c r="A868" t="s">
        <v>953</v>
      </c>
    </row>
    <row r="869" spans="1:1" x14ac:dyDescent="0.45">
      <c r="A869" t="s">
        <v>954</v>
      </c>
    </row>
    <row r="870" spans="1:1" x14ac:dyDescent="0.45">
      <c r="A870" t="s">
        <v>955</v>
      </c>
    </row>
    <row r="871" spans="1:1" x14ac:dyDescent="0.45">
      <c r="A871" t="s">
        <v>956</v>
      </c>
    </row>
    <row r="872" spans="1:1" x14ac:dyDescent="0.45">
      <c r="A872" t="s">
        <v>957</v>
      </c>
    </row>
    <row r="873" spans="1:1" x14ac:dyDescent="0.45">
      <c r="A873" t="s">
        <v>958</v>
      </c>
    </row>
    <row r="874" spans="1:1" x14ac:dyDescent="0.45">
      <c r="A874" t="s">
        <v>959</v>
      </c>
    </row>
    <row r="875" spans="1:1" x14ac:dyDescent="0.45">
      <c r="A875" t="s">
        <v>960</v>
      </c>
    </row>
    <row r="876" spans="1:1" x14ac:dyDescent="0.45">
      <c r="A876" t="s">
        <v>961</v>
      </c>
    </row>
    <row r="877" spans="1:1" x14ac:dyDescent="0.45">
      <c r="A877" t="s">
        <v>962</v>
      </c>
    </row>
    <row r="878" spans="1:1" x14ac:dyDescent="0.45">
      <c r="A878" t="s">
        <v>963</v>
      </c>
    </row>
    <row r="879" spans="1:1" x14ac:dyDescent="0.45">
      <c r="A879" t="s">
        <v>964</v>
      </c>
    </row>
    <row r="880" spans="1:1" x14ac:dyDescent="0.45">
      <c r="A880" t="s">
        <v>965</v>
      </c>
    </row>
    <row r="881" spans="1:1" x14ac:dyDescent="0.45">
      <c r="A881" t="s">
        <v>966</v>
      </c>
    </row>
    <row r="882" spans="1:1" x14ac:dyDescent="0.45">
      <c r="A882" t="s">
        <v>967</v>
      </c>
    </row>
    <row r="883" spans="1:1" x14ac:dyDescent="0.45">
      <c r="A883" t="s">
        <v>968</v>
      </c>
    </row>
    <row r="884" spans="1:1" x14ac:dyDescent="0.45">
      <c r="A884" t="s">
        <v>969</v>
      </c>
    </row>
    <row r="885" spans="1:1" x14ac:dyDescent="0.45">
      <c r="A885" t="s">
        <v>970</v>
      </c>
    </row>
    <row r="886" spans="1:1" x14ac:dyDescent="0.45">
      <c r="A886" t="s">
        <v>971</v>
      </c>
    </row>
    <row r="887" spans="1:1" x14ac:dyDescent="0.45">
      <c r="A887" t="s">
        <v>972</v>
      </c>
    </row>
    <row r="888" spans="1:1" x14ac:dyDescent="0.45">
      <c r="A888" t="s">
        <v>973</v>
      </c>
    </row>
    <row r="889" spans="1:1" x14ac:dyDescent="0.45">
      <c r="A889" t="s">
        <v>974</v>
      </c>
    </row>
    <row r="890" spans="1:1" x14ac:dyDescent="0.45">
      <c r="A890" t="s">
        <v>975</v>
      </c>
    </row>
    <row r="891" spans="1:1" x14ac:dyDescent="0.45">
      <c r="A891" t="s">
        <v>976</v>
      </c>
    </row>
    <row r="892" spans="1:1" x14ac:dyDescent="0.45">
      <c r="A892" t="s">
        <v>977</v>
      </c>
    </row>
    <row r="893" spans="1:1" x14ac:dyDescent="0.45">
      <c r="A893" t="s">
        <v>978</v>
      </c>
    </row>
    <row r="894" spans="1:1" x14ac:dyDescent="0.45">
      <c r="A894" t="s">
        <v>979</v>
      </c>
    </row>
    <row r="895" spans="1:1" x14ac:dyDescent="0.45">
      <c r="A895" t="s">
        <v>980</v>
      </c>
    </row>
    <row r="896" spans="1:1" x14ac:dyDescent="0.45">
      <c r="A896" t="s">
        <v>981</v>
      </c>
    </row>
    <row r="897" spans="1:1" x14ac:dyDescent="0.45">
      <c r="A897" t="s">
        <v>982</v>
      </c>
    </row>
    <row r="898" spans="1:1" x14ac:dyDescent="0.45">
      <c r="A898" t="s">
        <v>983</v>
      </c>
    </row>
    <row r="899" spans="1:1" x14ac:dyDescent="0.45">
      <c r="A899" t="s">
        <v>984</v>
      </c>
    </row>
    <row r="900" spans="1:1" x14ac:dyDescent="0.45">
      <c r="A900" t="s">
        <v>985</v>
      </c>
    </row>
    <row r="901" spans="1:1" x14ac:dyDescent="0.45">
      <c r="A901" t="s">
        <v>986</v>
      </c>
    </row>
    <row r="902" spans="1:1" x14ac:dyDescent="0.45">
      <c r="A902" t="s">
        <v>987</v>
      </c>
    </row>
    <row r="903" spans="1:1" x14ac:dyDescent="0.45">
      <c r="A903" t="s">
        <v>988</v>
      </c>
    </row>
    <row r="904" spans="1:1" x14ac:dyDescent="0.45">
      <c r="A904" t="s">
        <v>989</v>
      </c>
    </row>
    <row r="905" spans="1:1" x14ac:dyDescent="0.45">
      <c r="A905" t="s">
        <v>990</v>
      </c>
    </row>
    <row r="906" spans="1:1" x14ac:dyDescent="0.45">
      <c r="A906" t="s">
        <v>991</v>
      </c>
    </row>
    <row r="907" spans="1:1" x14ac:dyDescent="0.45">
      <c r="A907" t="s">
        <v>992</v>
      </c>
    </row>
    <row r="908" spans="1:1" x14ac:dyDescent="0.45">
      <c r="A908" t="s">
        <v>993</v>
      </c>
    </row>
    <row r="909" spans="1:1" x14ac:dyDescent="0.45">
      <c r="A909" t="s">
        <v>994</v>
      </c>
    </row>
    <row r="910" spans="1:1" x14ac:dyDescent="0.45">
      <c r="A910" t="s">
        <v>995</v>
      </c>
    </row>
    <row r="911" spans="1:1" x14ac:dyDescent="0.45">
      <c r="A911" t="s">
        <v>996</v>
      </c>
    </row>
    <row r="912" spans="1:1" x14ac:dyDescent="0.45">
      <c r="A912" t="s">
        <v>997</v>
      </c>
    </row>
    <row r="913" spans="1:1" x14ac:dyDescent="0.45">
      <c r="A913" t="s">
        <v>998</v>
      </c>
    </row>
    <row r="914" spans="1:1" x14ac:dyDescent="0.45">
      <c r="A914" t="s">
        <v>999</v>
      </c>
    </row>
    <row r="915" spans="1:1" x14ac:dyDescent="0.45">
      <c r="A915" t="s">
        <v>1000</v>
      </c>
    </row>
    <row r="916" spans="1:1" x14ac:dyDescent="0.45">
      <c r="A916" t="s">
        <v>1001</v>
      </c>
    </row>
    <row r="917" spans="1:1" x14ac:dyDescent="0.45">
      <c r="A917" t="s">
        <v>1002</v>
      </c>
    </row>
    <row r="918" spans="1:1" x14ac:dyDescent="0.45">
      <c r="A918" t="s">
        <v>1003</v>
      </c>
    </row>
    <row r="919" spans="1:1" x14ac:dyDescent="0.45">
      <c r="A919" t="s">
        <v>1004</v>
      </c>
    </row>
    <row r="920" spans="1:1" x14ac:dyDescent="0.45">
      <c r="A920" t="s">
        <v>1005</v>
      </c>
    </row>
    <row r="921" spans="1:1" x14ac:dyDescent="0.45">
      <c r="A921" t="s">
        <v>1006</v>
      </c>
    </row>
    <row r="922" spans="1:1" x14ac:dyDescent="0.45">
      <c r="A922" t="s">
        <v>1007</v>
      </c>
    </row>
    <row r="923" spans="1:1" x14ac:dyDescent="0.45">
      <c r="A923" t="s">
        <v>1008</v>
      </c>
    </row>
    <row r="924" spans="1:1" x14ac:dyDescent="0.45">
      <c r="A924" t="s">
        <v>1009</v>
      </c>
    </row>
    <row r="925" spans="1:1" x14ac:dyDescent="0.45">
      <c r="A925" t="s">
        <v>1010</v>
      </c>
    </row>
    <row r="926" spans="1:1" x14ac:dyDescent="0.45">
      <c r="A926" t="s">
        <v>1011</v>
      </c>
    </row>
    <row r="927" spans="1:1" x14ac:dyDescent="0.45">
      <c r="A927" t="s">
        <v>1012</v>
      </c>
    </row>
    <row r="928" spans="1:1" x14ac:dyDescent="0.45">
      <c r="A928" t="s">
        <v>1013</v>
      </c>
    </row>
    <row r="929" spans="1:1" x14ac:dyDescent="0.45">
      <c r="A929" t="s">
        <v>1014</v>
      </c>
    </row>
    <row r="930" spans="1:1" x14ac:dyDescent="0.45">
      <c r="A930" t="s">
        <v>1015</v>
      </c>
    </row>
    <row r="931" spans="1:1" x14ac:dyDescent="0.45">
      <c r="A931" t="s">
        <v>1016</v>
      </c>
    </row>
    <row r="932" spans="1:1" x14ac:dyDescent="0.45">
      <c r="A932" t="s">
        <v>1017</v>
      </c>
    </row>
    <row r="933" spans="1:1" x14ac:dyDescent="0.45">
      <c r="A933" t="s">
        <v>1018</v>
      </c>
    </row>
    <row r="934" spans="1:1" x14ac:dyDescent="0.45">
      <c r="A934" t="s">
        <v>1019</v>
      </c>
    </row>
    <row r="935" spans="1:1" x14ac:dyDescent="0.45">
      <c r="A935" t="s">
        <v>1020</v>
      </c>
    </row>
    <row r="936" spans="1:1" x14ac:dyDescent="0.45">
      <c r="A936" t="s">
        <v>1021</v>
      </c>
    </row>
    <row r="937" spans="1:1" x14ac:dyDescent="0.45">
      <c r="A937" t="s">
        <v>1022</v>
      </c>
    </row>
    <row r="938" spans="1:1" x14ac:dyDescent="0.45">
      <c r="A938" t="s">
        <v>1023</v>
      </c>
    </row>
    <row r="939" spans="1:1" x14ac:dyDescent="0.45">
      <c r="A939" t="s">
        <v>1024</v>
      </c>
    </row>
    <row r="940" spans="1:1" x14ac:dyDescent="0.45">
      <c r="A940" t="s">
        <v>1025</v>
      </c>
    </row>
    <row r="941" spans="1:1" x14ac:dyDescent="0.45">
      <c r="A941" t="s">
        <v>1026</v>
      </c>
    </row>
    <row r="942" spans="1:1" x14ac:dyDescent="0.45">
      <c r="A942" t="s">
        <v>1027</v>
      </c>
    </row>
    <row r="943" spans="1:1" x14ac:dyDescent="0.45">
      <c r="A943" t="s">
        <v>1028</v>
      </c>
    </row>
    <row r="944" spans="1:1" x14ac:dyDescent="0.45">
      <c r="A944" t="s">
        <v>1029</v>
      </c>
    </row>
    <row r="945" spans="1:1" x14ac:dyDescent="0.45">
      <c r="A945" t="s">
        <v>1030</v>
      </c>
    </row>
    <row r="946" spans="1:1" x14ac:dyDescent="0.45">
      <c r="A946" t="s">
        <v>1031</v>
      </c>
    </row>
    <row r="947" spans="1:1" x14ac:dyDescent="0.45">
      <c r="A947" t="s">
        <v>1032</v>
      </c>
    </row>
    <row r="948" spans="1:1" x14ac:dyDescent="0.45">
      <c r="A948" t="s">
        <v>1033</v>
      </c>
    </row>
    <row r="949" spans="1:1" x14ac:dyDescent="0.45">
      <c r="A949" t="s">
        <v>1034</v>
      </c>
    </row>
    <row r="950" spans="1:1" x14ac:dyDescent="0.45">
      <c r="A950" t="s">
        <v>1035</v>
      </c>
    </row>
    <row r="951" spans="1:1" x14ac:dyDescent="0.45">
      <c r="A951" t="s">
        <v>1036</v>
      </c>
    </row>
    <row r="952" spans="1:1" x14ac:dyDescent="0.45">
      <c r="A952" t="s">
        <v>1037</v>
      </c>
    </row>
    <row r="953" spans="1:1" x14ac:dyDescent="0.45">
      <c r="A953" t="s">
        <v>1038</v>
      </c>
    </row>
    <row r="954" spans="1:1" x14ac:dyDescent="0.45">
      <c r="A954" t="s">
        <v>1039</v>
      </c>
    </row>
    <row r="955" spans="1:1" x14ac:dyDescent="0.45">
      <c r="A955" t="s">
        <v>1040</v>
      </c>
    </row>
    <row r="956" spans="1:1" x14ac:dyDescent="0.45">
      <c r="A956" t="s">
        <v>1041</v>
      </c>
    </row>
    <row r="957" spans="1:1" x14ac:dyDescent="0.45">
      <c r="A957" t="s">
        <v>1042</v>
      </c>
    </row>
    <row r="958" spans="1:1" x14ac:dyDescent="0.45">
      <c r="A958" t="s">
        <v>1043</v>
      </c>
    </row>
    <row r="959" spans="1:1" x14ac:dyDescent="0.45">
      <c r="A959" t="s">
        <v>1044</v>
      </c>
    </row>
    <row r="960" spans="1:1" x14ac:dyDescent="0.45">
      <c r="A960" t="s">
        <v>1045</v>
      </c>
    </row>
    <row r="961" spans="1:1" x14ac:dyDescent="0.45">
      <c r="A961" t="s">
        <v>1046</v>
      </c>
    </row>
    <row r="962" spans="1:1" x14ac:dyDescent="0.45">
      <c r="A962" t="s">
        <v>1047</v>
      </c>
    </row>
    <row r="963" spans="1:1" x14ac:dyDescent="0.45">
      <c r="A963" t="s">
        <v>1048</v>
      </c>
    </row>
    <row r="964" spans="1:1" x14ac:dyDescent="0.45">
      <c r="A964" t="s">
        <v>1049</v>
      </c>
    </row>
    <row r="965" spans="1:1" x14ac:dyDescent="0.45">
      <c r="A965" t="s">
        <v>1050</v>
      </c>
    </row>
    <row r="966" spans="1:1" x14ac:dyDescent="0.45">
      <c r="A966" t="s">
        <v>1051</v>
      </c>
    </row>
    <row r="967" spans="1:1" x14ac:dyDescent="0.45">
      <c r="A967" t="s">
        <v>1052</v>
      </c>
    </row>
    <row r="968" spans="1:1" x14ac:dyDescent="0.45">
      <c r="A968" t="s">
        <v>1053</v>
      </c>
    </row>
    <row r="969" spans="1:1" x14ac:dyDescent="0.45">
      <c r="A969" t="s">
        <v>1054</v>
      </c>
    </row>
    <row r="970" spans="1:1" x14ac:dyDescent="0.45">
      <c r="A970" t="s">
        <v>1055</v>
      </c>
    </row>
    <row r="971" spans="1:1" x14ac:dyDescent="0.45">
      <c r="A971" t="s">
        <v>1056</v>
      </c>
    </row>
    <row r="972" spans="1:1" x14ac:dyDescent="0.45">
      <c r="A972" t="s">
        <v>1057</v>
      </c>
    </row>
    <row r="973" spans="1:1" x14ac:dyDescent="0.45">
      <c r="A973" t="s">
        <v>1058</v>
      </c>
    </row>
    <row r="974" spans="1:1" x14ac:dyDescent="0.45">
      <c r="A974" t="s">
        <v>1059</v>
      </c>
    </row>
    <row r="975" spans="1:1" x14ac:dyDescent="0.45">
      <c r="A975" t="s">
        <v>1060</v>
      </c>
    </row>
    <row r="976" spans="1:1" x14ac:dyDescent="0.45">
      <c r="A976" t="s">
        <v>1061</v>
      </c>
    </row>
    <row r="977" spans="1:1" x14ac:dyDescent="0.45">
      <c r="A977" t="s">
        <v>1062</v>
      </c>
    </row>
    <row r="978" spans="1:1" x14ac:dyDescent="0.45">
      <c r="A978" t="s">
        <v>1063</v>
      </c>
    </row>
    <row r="979" spans="1:1" x14ac:dyDescent="0.45">
      <c r="A979" t="s">
        <v>1064</v>
      </c>
    </row>
    <row r="980" spans="1:1" x14ac:dyDescent="0.45">
      <c r="A980" t="s">
        <v>1065</v>
      </c>
    </row>
    <row r="981" spans="1:1" x14ac:dyDescent="0.45">
      <c r="A981" t="s">
        <v>1066</v>
      </c>
    </row>
    <row r="982" spans="1:1" x14ac:dyDescent="0.45">
      <c r="A982" t="s">
        <v>1067</v>
      </c>
    </row>
    <row r="983" spans="1:1" x14ac:dyDescent="0.45">
      <c r="A983" t="s">
        <v>1068</v>
      </c>
    </row>
    <row r="984" spans="1:1" x14ac:dyDescent="0.45">
      <c r="A984" t="s">
        <v>1069</v>
      </c>
    </row>
    <row r="985" spans="1:1" x14ac:dyDescent="0.45">
      <c r="A985" t="s">
        <v>1070</v>
      </c>
    </row>
    <row r="986" spans="1:1" x14ac:dyDescent="0.45">
      <c r="A986" t="s">
        <v>1071</v>
      </c>
    </row>
    <row r="987" spans="1:1" x14ac:dyDescent="0.45">
      <c r="A987" t="s">
        <v>1072</v>
      </c>
    </row>
    <row r="988" spans="1:1" x14ac:dyDescent="0.45">
      <c r="A988" t="s">
        <v>1073</v>
      </c>
    </row>
    <row r="989" spans="1:1" x14ac:dyDescent="0.45">
      <c r="A989" t="s">
        <v>1074</v>
      </c>
    </row>
    <row r="990" spans="1:1" x14ac:dyDescent="0.45">
      <c r="A990" t="s">
        <v>1075</v>
      </c>
    </row>
    <row r="991" spans="1:1" x14ac:dyDescent="0.45">
      <c r="A991" t="s">
        <v>1076</v>
      </c>
    </row>
    <row r="992" spans="1:1" x14ac:dyDescent="0.45">
      <c r="A992" t="s">
        <v>1077</v>
      </c>
    </row>
    <row r="993" spans="1:1" x14ac:dyDescent="0.45">
      <c r="A993" t="s">
        <v>1078</v>
      </c>
    </row>
    <row r="994" spans="1:1" x14ac:dyDescent="0.45">
      <c r="A994" t="s">
        <v>1079</v>
      </c>
    </row>
    <row r="995" spans="1:1" x14ac:dyDescent="0.45">
      <c r="A995" t="s">
        <v>1080</v>
      </c>
    </row>
    <row r="996" spans="1:1" x14ac:dyDescent="0.45">
      <c r="A996" t="s">
        <v>1081</v>
      </c>
    </row>
    <row r="997" spans="1:1" x14ac:dyDescent="0.45">
      <c r="A997" t="s">
        <v>1082</v>
      </c>
    </row>
    <row r="998" spans="1:1" x14ac:dyDescent="0.45">
      <c r="A998" t="s">
        <v>1083</v>
      </c>
    </row>
    <row r="999" spans="1:1" x14ac:dyDescent="0.45">
      <c r="A999" t="s">
        <v>1084</v>
      </c>
    </row>
    <row r="1000" spans="1:1" x14ac:dyDescent="0.45">
      <c r="A1000" t="s">
        <v>1085</v>
      </c>
    </row>
    <row r="1001" spans="1:1" x14ac:dyDescent="0.45">
      <c r="A1001" t="s">
        <v>1086</v>
      </c>
    </row>
    <row r="1002" spans="1:1" x14ac:dyDescent="0.45">
      <c r="A1002" t="s">
        <v>1087</v>
      </c>
    </row>
    <row r="1003" spans="1:1" x14ac:dyDescent="0.45">
      <c r="A1003" t="s">
        <v>1088</v>
      </c>
    </row>
    <row r="1004" spans="1:1" x14ac:dyDescent="0.45">
      <c r="A1004" t="s">
        <v>1089</v>
      </c>
    </row>
    <row r="1005" spans="1:1" x14ac:dyDescent="0.45">
      <c r="A1005" t="s">
        <v>1090</v>
      </c>
    </row>
    <row r="1006" spans="1:1" x14ac:dyDescent="0.45">
      <c r="A1006" t="s">
        <v>1091</v>
      </c>
    </row>
    <row r="1007" spans="1:1" x14ac:dyDescent="0.45">
      <c r="A1007" t="s">
        <v>1092</v>
      </c>
    </row>
    <row r="1008" spans="1:1" x14ac:dyDescent="0.45">
      <c r="A1008" t="s">
        <v>1093</v>
      </c>
    </row>
    <row r="1009" spans="1:1" x14ac:dyDescent="0.45">
      <c r="A1009" t="s">
        <v>1094</v>
      </c>
    </row>
    <row r="1010" spans="1:1" x14ac:dyDescent="0.45">
      <c r="A1010" t="s">
        <v>1095</v>
      </c>
    </row>
    <row r="1011" spans="1:1" x14ac:dyDescent="0.45">
      <c r="A1011" t="s">
        <v>1096</v>
      </c>
    </row>
    <row r="1012" spans="1:1" x14ac:dyDescent="0.45">
      <c r="A1012" t="s">
        <v>1097</v>
      </c>
    </row>
    <row r="1013" spans="1:1" x14ac:dyDescent="0.45">
      <c r="A1013" t="s">
        <v>1098</v>
      </c>
    </row>
    <row r="1014" spans="1:1" x14ac:dyDescent="0.45">
      <c r="A1014" t="s">
        <v>1099</v>
      </c>
    </row>
    <row r="1015" spans="1:1" x14ac:dyDescent="0.45">
      <c r="A1015" t="s">
        <v>1100</v>
      </c>
    </row>
    <row r="1016" spans="1:1" x14ac:dyDescent="0.45">
      <c r="A1016" t="s">
        <v>1101</v>
      </c>
    </row>
    <row r="1017" spans="1:1" x14ac:dyDescent="0.45">
      <c r="A1017" t="s">
        <v>1102</v>
      </c>
    </row>
    <row r="1018" spans="1:1" x14ac:dyDescent="0.45">
      <c r="A1018" t="s">
        <v>1103</v>
      </c>
    </row>
    <row r="1019" spans="1:1" x14ac:dyDescent="0.45">
      <c r="A1019" t="s">
        <v>1104</v>
      </c>
    </row>
    <row r="1020" spans="1:1" x14ac:dyDescent="0.45">
      <c r="A1020" t="s">
        <v>1105</v>
      </c>
    </row>
    <row r="1021" spans="1:1" x14ac:dyDescent="0.45">
      <c r="A1021" t="s">
        <v>1106</v>
      </c>
    </row>
    <row r="1022" spans="1:1" x14ac:dyDescent="0.45">
      <c r="A1022" t="s">
        <v>1107</v>
      </c>
    </row>
    <row r="1023" spans="1:1" x14ac:dyDescent="0.45">
      <c r="A1023" t="s">
        <v>1108</v>
      </c>
    </row>
    <row r="1024" spans="1:1" x14ac:dyDescent="0.45">
      <c r="A1024" t="s">
        <v>1109</v>
      </c>
    </row>
    <row r="1025" spans="1:1" x14ac:dyDescent="0.45">
      <c r="A1025" t="s">
        <v>1110</v>
      </c>
    </row>
    <row r="1026" spans="1:1" x14ac:dyDescent="0.45">
      <c r="A1026" t="s">
        <v>1111</v>
      </c>
    </row>
    <row r="1027" spans="1:1" x14ac:dyDescent="0.45">
      <c r="A1027" t="s">
        <v>1112</v>
      </c>
    </row>
    <row r="1028" spans="1:1" x14ac:dyDescent="0.45">
      <c r="A1028" t="s">
        <v>1113</v>
      </c>
    </row>
    <row r="1029" spans="1:1" x14ac:dyDescent="0.45">
      <c r="A1029" t="s">
        <v>1114</v>
      </c>
    </row>
    <row r="1030" spans="1:1" x14ac:dyDescent="0.45">
      <c r="A1030" t="s">
        <v>1115</v>
      </c>
    </row>
    <row r="1031" spans="1:1" x14ac:dyDescent="0.45">
      <c r="A1031" t="s">
        <v>1116</v>
      </c>
    </row>
    <row r="1032" spans="1:1" x14ac:dyDescent="0.45">
      <c r="A1032" t="s">
        <v>1117</v>
      </c>
    </row>
    <row r="1033" spans="1:1" x14ac:dyDescent="0.45">
      <c r="A1033" t="s">
        <v>1118</v>
      </c>
    </row>
    <row r="1034" spans="1:1" x14ac:dyDescent="0.45">
      <c r="A1034" t="s">
        <v>1119</v>
      </c>
    </row>
    <row r="1035" spans="1:1" x14ac:dyDescent="0.45">
      <c r="A1035" t="s">
        <v>1120</v>
      </c>
    </row>
    <row r="1036" spans="1:1" x14ac:dyDescent="0.45">
      <c r="A1036" t="s">
        <v>1121</v>
      </c>
    </row>
    <row r="1037" spans="1:1" x14ac:dyDescent="0.45">
      <c r="A1037" t="s">
        <v>1122</v>
      </c>
    </row>
    <row r="1038" spans="1:1" x14ac:dyDescent="0.45">
      <c r="A1038" t="s">
        <v>1123</v>
      </c>
    </row>
    <row r="1039" spans="1:1" x14ac:dyDescent="0.45">
      <c r="A1039" t="s">
        <v>1124</v>
      </c>
    </row>
    <row r="1040" spans="1:1" x14ac:dyDescent="0.45">
      <c r="A1040" t="s">
        <v>1125</v>
      </c>
    </row>
    <row r="1041" spans="1:1" x14ac:dyDescent="0.45">
      <c r="A1041" t="s">
        <v>1126</v>
      </c>
    </row>
    <row r="1042" spans="1:1" x14ac:dyDescent="0.45">
      <c r="A1042" t="s">
        <v>1127</v>
      </c>
    </row>
    <row r="1043" spans="1:1" x14ac:dyDescent="0.45">
      <c r="A1043" t="s">
        <v>1128</v>
      </c>
    </row>
    <row r="1044" spans="1:1" x14ac:dyDescent="0.45">
      <c r="A1044" t="s">
        <v>1129</v>
      </c>
    </row>
    <row r="1045" spans="1:1" x14ac:dyDescent="0.45">
      <c r="A1045" t="s">
        <v>1130</v>
      </c>
    </row>
    <row r="1046" spans="1:1" x14ac:dyDescent="0.45">
      <c r="A1046" t="s">
        <v>1131</v>
      </c>
    </row>
    <row r="1047" spans="1:1" x14ac:dyDescent="0.45">
      <c r="A1047" t="s">
        <v>1132</v>
      </c>
    </row>
    <row r="1048" spans="1:1" x14ac:dyDescent="0.45">
      <c r="A1048" t="s">
        <v>1133</v>
      </c>
    </row>
    <row r="1049" spans="1:1" x14ac:dyDescent="0.45">
      <c r="A1049" t="s">
        <v>1134</v>
      </c>
    </row>
    <row r="1050" spans="1:1" x14ac:dyDescent="0.45">
      <c r="A1050" t="s">
        <v>1135</v>
      </c>
    </row>
    <row r="1051" spans="1:1" x14ac:dyDescent="0.45">
      <c r="A1051" t="s">
        <v>1136</v>
      </c>
    </row>
    <row r="1052" spans="1:1" x14ac:dyDescent="0.45">
      <c r="A1052" t="s">
        <v>1137</v>
      </c>
    </row>
    <row r="1053" spans="1:1" x14ac:dyDescent="0.45">
      <c r="A1053" t="s">
        <v>1138</v>
      </c>
    </row>
    <row r="1054" spans="1:1" x14ac:dyDescent="0.45">
      <c r="A1054" t="s">
        <v>1139</v>
      </c>
    </row>
    <row r="1055" spans="1:1" x14ac:dyDescent="0.45">
      <c r="A1055" t="s">
        <v>1140</v>
      </c>
    </row>
    <row r="1056" spans="1:1" x14ac:dyDescent="0.45">
      <c r="A1056" t="s">
        <v>1141</v>
      </c>
    </row>
    <row r="1057" spans="1:1" x14ac:dyDescent="0.45">
      <c r="A1057" t="s">
        <v>1142</v>
      </c>
    </row>
    <row r="1058" spans="1:1" x14ac:dyDescent="0.45">
      <c r="A1058" t="s">
        <v>1143</v>
      </c>
    </row>
    <row r="1059" spans="1:1" x14ac:dyDescent="0.45">
      <c r="A1059" t="s">
        <v>1144</v>
      </c>
    </row>
    <row r="1060" spans="1:1" x14ac:dyDescent="0.45">
      <c r="A1060" t="s">
        <v>1145</v>
      </c>
    </row>
    <row r="1061" spans="1:1" x14ac:dyDescent="0.45">
      <c r="A1061" t="s">
        <v>1146</v>
      </c>
    </row>
    <row r="1062" spans="1:1" x14ac:dyDescent="0.45">
      <c r="A1062" t="s">
        <v>1147</v>
      </c>
    </row>
    <row r="1063" spans="1:1" x14ac:dyDescent="0.45">
      <c r="A1063" t="s">
        <v>1148</v>
      </c>
    </row>
    <row r="1064" spans="1:1" x14ac:dyDescent="0.45">
      <c r="A1064" t="s">
        <v>1149</v>
      </c>
    </row>
    <row r="1065" spans="1:1" x14ac:dyDescent="0.45">
      <c r="A1065" t="s">
        <v>1150</v>
      </c>
    </row>
    <row r="1066" spans="1:1" x14ac:dyDescent="0.45">
      <c r="A1066" t="s">
        <v>1151</v>
      </c>
    </row>
    <row r="1067" spans="1:1" x14ac:dyDescent="0.45">
      <c r="A1067" t="s">
        <v>1152</v>
      </c>
    </row>
    <row r="1068" spans="1:1" x14ac:dyDescent="0.45">
      <c r="A1068" t="s">
        <v>1153</v>
      </c>
    </row>
    <row r="1069" spans="1:1" x14ac:dyDescent="0.45">
      <c r="A1069" t="s">
        <v>1154</v>
      </c>
    </row>
    <row r="1070" spans="1:1" x14ac:dyDescent="0.45">
      <c r="A1070" t="s">
        <v>1155</v>
      </c>
    </row>
    <row r="1071" spans="1:1" x14ac:dyDescent="0.45">
      <c r="A1071" t="s">
        <v>1156</v>
      </c>
    </row>
    <row r="1072" spans="1:1" x14ac:dyDescent="0.45">
      <c r="A1072" t="s">
        <v>1157</v>
      </c>
    </row>
    <row r="1073" spans="1:1" x14ac:dyDescent="0.45">
      <c r="A1073" t="s">
        <v>1158</v>
      </c>
    </row>
    <row r="1074" spans="1:1" x14ac:dyDescent="0.45">
      <c r="A1074" t="s">
        <v>1159</v>
      </c>
    </row>
    <row r="1075" spans="1:1" x14ac:dyDescent="0.45">
      <c r="A1075" t="s">
        <v>1160</v>
      </c>
    </row>
    <row r="1076" spans="1:1" x14ac:dyDescent="0.45">
      <c r="A1076" t="s">
        <v>1161</v>
      </c>
    </row>
    <row r="1077" spans="1:1" x14ac:dyDescent="0.45">
      <c r="A1077" t="s">
        <v>1162</v>
      </c>
    </row>
    <row r="1078" spans="1:1" x14ac:dyDescent="0.45">
      <c r="A1078" t="s">
        <v>1163</v>
      </c>
    </row>
    <row r="1079" spans="1:1" x14ac:dyDescent="0.45">
      <c r="A1079" t="s">
        <v>1164</v>
      </c>
    </row>
    <row r="1080" spans="1:1" x14ac:dyDescent="0.45">
      <c r="A1080" t="s">
        <v>1165</v>
      </c>
    </row>
    <row r="1081" spans="1:1" x14ac:dyDescent="0.45">
      <c r="A1081" t="s">
        <v>1166</v>
      </c>
    </row>
    <row r="1082" spans="1:1" x14ac:dyDescent="0.45">
      <c r="A1082" t="s">
        <v>1167</v>
      </c>
    </row>
    <row r="1083" spans="1:1" x14ac:dyDescent="0.45">
      <c r="A1083" t="s">
        <v>1168</v>
      </c>
    </row>
    <row r="1084" spans="1:1" x14ac:dyDescent="0.45">
      <c r="A1084" t="s">
        <v>1169</v>
      </c>
    </row>
    <row r="1085" spans="1:1" x14ac:dyDescent="0.45">
      <c r="A1085" t="s">
        <v>1170</v>
      </c>
    </row>
    <row r="1086" spans="1:1" x14ac:dyDescent="0.45">
      <c r="A1086" t="s">
        <v>1171</v>
      </c>
    </row>
    <row r="1087" spans="1:1" x14ac:dyDescent="0.45">
      <c r="A1087" t="s">
        <v>1172</v>
      </c>
    </row>
    <row r="1088" spans="1:1" x14ac:dyDescent="0.45">
      <c r="A1088" t="s">
        <v>1173</v>
      </c>
    </row>
    <row r="1089" spans="1:1" x14ac:dyDescent="0.45">
      <c r="A1089" t="s">
        <v>1174</v>
      </c>
    </row>
    <row r="1090" spans="1:1" x14ac:dyDescent="0.45">
      <c r="A1090" t="s">
        <v>1175</v>
      </c>
    </row>
    <row r="1091" spans="1:1" x14ac:dyDescent="0.45">
      <c r="A1091" t="s">
        <v>1176</v>
      </c>
    </row>
    <row r="1092" spans="1:1" x14ac:dyDescent="0.45">
      <c r="A1092" t="s">
        <v>1177</v>
      </c>
    </row>
    <row r="1093" spans="1:1" x14ac:dyDescent="0.45">
      <c r="A1093" t="s">
        <v>1178</v>
      </c>
    </row>
    <row r="1094" spans="1:1" x14ac:dyDescent="0.45">
      <c r="A1094" t="s">
        <v>1179</v>
      </c>
    </row>
    <row r="1095" spans="1:1" x14ac:dyDescent="0.45">
      <c r="A1095" t="s">
        <v>1180</v>
      </c>
    </row>
    <row r="1096" spans="1:1" x14ac:dyDescent="0.45">
      <c r="A1096" t="s">
        <v>1181</v>
      </c>
    </row>
    <row r="1097" spans="1:1" x14ac:dyDescent="0.45">
      <c r="A1097" t="s">
        <v>1182</v>
      </c>
    </row>
    <row r="1098" spans="1:1" x14ac:dyDescent="0.45">
      <c r="A1098" t="s">
        <v>1183</v>
      </c>
    </row>
    <row r="1099" spans="1:1" x14ac:dyDescent="0.45">
      <c r="A1099" t="s">
        <v>1184</v>
      </c>
    </row>
    <row r="1100" spans="1:1" x14ac:dyDescent="0.45">
      <c r="A1100" t="s">
        <v>1185</v>
      </c>
    </row>
    <row r="1101" spans="1:1" x14ac:dyDescent="0.45">
      <c r="A1101" t="s">
        <v>1186</v>
      </c>
    </row>
    <row r="1102" spans="1:1" x14ac:dyDescent="0.45">
      <c r="A1102" t="s">
        <v>1187</v>
      </c>
    </row>
    <row r="1103" spans="1:1" x14ac:dyDescent="0.45">
      <c r="A1103" t="s">
        <v>1188</v>
      </c>
    </row>
    <row r="1104" spans="1:1" x14ac:dyDescent="0.45">
      <c r="A1104" t="s">
        <v>1189</v>
      </c>
    </row>
    <row r="1105" spans="1:1" x14ac:dyDescent="0.45">
      <c r="A1105" t="s">
        <v>1190</v>
      </c>
    </row>
    <row r="1106" spans="1:1" x14ac:dyDescent="0.45">
      <c r="A1106" t="s">
        <v>1191</v>
      </c>
    </row>
    <row r="1107" spans="1:1" x14ac:dyDescent="0.45">
      <c r="A1107" t="s">
        <v>1192</v>
      </c>
    </row>
    <row r="1108" spans="1:1" x14ac:dyDescent="0.45">
      <c r="A1108" t="s">
        <v>1193</v>
      </c>
    </row>
    <row r="1109" spans="1:1" x14ac:dyDescent="0.45">
      <c r="A1109" t="s">
        <v>1194</v>
      </c>
    </row>
    <row r="1110" spans="1:1" x14ac:dyDescent="0.45">
      <c r="A1110" t="s">
        <v>1195</v>
      </c>
    </row>
    <row r="1111" spans="1:1" x14ac:dyDescent="0.45">
      <c r="A1111" t="s">
        <v>1196</v>
      </c>
    </row>
    <row r="1112" spans="1:1" x14ac:dyDescent="0.45">
      <c r="A1112" t="s">
        <v>1197</v>
      </c>
    </row>
    <row r="1113" spans="1:1" x14ac:dyDescent="0.45">
      <c r="A1113" t="s">
        <v>1198</v>
      </c>
    </row>
    <row r="1114" spans="1:1" x14ac:dyDescent="0.45">
      <c r="A1114" t="s">
        <v>1199</v>
      </c>
    </row>
    <row r="1115" spans="1:1" x14ac:dyDescent="0.45">
      <c r="A1115" t="s">
        <v>1200</v>
      </c>
    </row>
    <row r="1116" spans="1:1" x14ac:dyDescent="0.45">
      <c r="A1116" t="s">
        <v>1201</v>
      </c>
    </row>
    <row r="1117" spans="1:1" x14ac:dyDescent="0.45">
      <c r="A1117" t="s">
        <v>1202</v>
      </c>
    </row>
    <row r="1118" spans="1:1" x14ac:dyDescent="0.45">
      <c r="A1118" t="s">
        <v>1203</v>
      </c>
    </row>
    <row r="1119" spans="1:1" x14ac:dyDescent="0.45">
      <c r="A1119" t="s">
        <v>1204</v>
      </c>
    </row>
    <row r="1120" spans="1:1" x14ac:dyDescent="0.45">
      <c r="A1120" t="s">
        <v>1205</v>
      </c>
    </row>
    <row r="1121" spans="1:1" x14ac:dyDescent="0.45">
      <c r="A1121" t="s">
        <v>1206</v>
      </c>
    </row>
    <row r="1122" spans="1:1" x14ac:dyDescent="0.45">
      <c r="A1122" t="s">
        <v>1207</v>
      </c>
    </row>
    <row r="1123" spans="1:1" x14ac:dyDescent="0.45">
      <c r="A1123" t="s">
        <v>1208</v>
      </c>
    </row>
    <row r="1124" spans="1:1" x14ac:dyDescent="0.45">
      <c r="A1124" t="s">
        <v>1209</v>
      </c>
    </row>
    <row r="1125" spans="1:1" x14ac:dyDescent="0.45">
      <c r="A1125" t="s">
        <v>1210</v>
      </c>
    </row>
    <row r="1126" spans="1:1" x14ac:dyDescent="0.45">
      <c r="A1126" t="s">
        <v>1211</v>
      </c>
    </row>
    <row r="1127" spans="1:1" x14ac:dyDescent="0.45">
      <c r="A1127" t="s">
        <v>1212</v>
      </c>
    </row>
    <row r="1128" spans="1:1" x14ac:dyDescent="0.45">
      <c r="A1128" t="s">
        <v>1213</v>
      </c>
    </row>
    <row r="1129" spans="1:1" x14ac:dyDescent="0.45">
      <c r="A1129" t="s">
        <v>1214</v>
      </c>
    </row>
    <row r="1130" spans="1:1" x14ac:dyDescent="0.45">
      <c r="A1130" t="s">
        <v>1215</v>
      </c>
    </row>
    <row r="1131" spans="1:1" x14ac:dyDescent="0.45">
      <c r="A1131" t="s">
        <v>1216</v>
      </c>
    </row>
    <row r="1132" spans="1:1" x14ac:dyDescent="0.45">
      <c r="A1132" t="s">
        <v>1217</v>
      </c>
    </row>
    <row r="1133" spans="1:1" x14ac:dyDescent="0.45">
      <c r="A1133" t="s">
        <v>1218</v>
      </c>
    </row>
    <row r="1134" spans="1:1" x14ac:dyDescent="0.45">
      <c r="A1134" t="s">
        <v>1219</v>
      </c>
    </row>
    <row r="1135" spans="1:1" x14ac:dyDescent="0.45">
      <c r="A1135" t="s">
        <v>1220</v>
      </c>
    </row>
    <row r="1136" spans="1:1" x14ac:dyDescent="0.45">
      <c r="A1136" t="s">
        <v>1221</v>
      </c>
    </row>
    <row r="1137" spans="1:1" x14ac:dyDescent="0.45">
      <c r="A1137" t="s">
        <v>1222</v>
      </c>
    </row>
    <row r="1138" spans="1:1" x14ac:dyDescent="0.45">
      <c r="A1138" t="s">
        <v>1223</v>
      </c>
    </row>
    <row r="1139" spans="1:1" x14ac:dyDescent="0.45">
      <c r="A1139" t="s">
        <v>1224</v>
      </c>
    </row>
    <row r="1140" spans="1:1" x14ac:dyDescent="0.45">
      <c r="A1140" t="s">
        <v>1225</v>
      </c>
    </row>
    <row r="1141" spans="1:1" x14ac:dyDescent="0.45">
      <c r="A1141" t="s">
        <v>1226</v>
      </c>
    </row>
    <row r="1142" spans="1:1" x14ac:dyDescent="0.45">
      <c r="A1142" t="s">
        <v>1227</v>
      </c>
    </row>
    <row r="1143" spans="1:1" x14ac:dyDescent="0.45">
      <c r="A1143" t="s">
        <v>1228</v>
      </c>
    </row>
    <row r="1144" spans="1:1" x14ac:dyDescent="0.45">
      <c r="A1144" t="s">
        <v>1229</v>
      </c>
    </row>
    <row r="1145" spans="1:1" x14ac:dyDescent="0.45">
      <c r="A1145" t="s">
        <v>1230</v>
      </c>
    </row>
    <row r="1146" spans="1:1" x14ac:dyDescent="0.45">
      <c r="A1146" t="s">
        <v>1231</v>
      </c>
    </row>
    <row r="1147" spans="1:1" x14ac:dyDescent="0.45">
      <c r="A1147" t="s">
        <v>1232</v>
      </c>
    </row>
    <row r="1148" spans="1:1" x14ac:dyDescent="0.45">
      <c r="A1148" t="s">
        <v>1233</v>
      </c>
    </row>
    <row r="1149" spans="1:1" x14ac:dyDescent="0.45">
      <c r="A1149" t="s">
        <v>1234</v>
      </c>
    </row>
    <row r="1150" spans="1:1" x14ac:dyDescent="0.45">
      <c r="A1150" t="s">
        <v>1235</v>
      </c>
    </row>
    <row r="1151" spans="1:1" x14ac:dyDescent="0.45">
      <c r="A1151" t="s">
        <v>1236</v>
      </c>
    </row>
    <row r="1152" spans="1:1" x14ac:dyDescent="0.45">
      <c r="A1152" t="s">
        <v>1237</v>
      </c>
    </row>
    <row r="1153" spans="1:1" x14ac:dyDescent="0.45">
      <c r="A1153" t="s">
        <v>1238</v>
      </c>
    </row>
    <row r="1154" spans="1:1" x14ac:dyDescent="0.45">
      <c r="A1154" t="s">
        <v>1239</v>
      </c>
    </row>
    <row r="1155" spans="1:1" x14ac:dyDescent="0.45">
      <c r="A1155" t="s">
        <v>1240</v>
      </c>
    </row>
    <row r="1156" spans="1:1" x14ac:dyDescent="0.45">
      <c r="A1156" t="s">
        <v>1241</v>
      </c>
    </row>
    <row r="1157" spans="1:1" x14ac:dyDescent="0.45">
      <c r="A1157" t="s">
        <v>1242</v>
      </c>
    </row>
    <row r="1158" spans="1:1" x14ac:dyDescent="0.45">
      <c r="A1158" t="s">
        <v>1243</v>
      </c>
    </row>
    <row r="1159" spans="1:1" x14ac:dyDescent="0.45">
      <c r="A1159" t="s">
        <v>1244</v>
      </c>
    </row>
    <row r="1160" spans="1:1" x14ac:dyDescent="0.45">
      <c r="A1160" t="s">
        <v>1245</v>
      </c>
    </row>
    <row r="1161" spans="1:1" x14ac:dyDescent="0.45">
      <c r="A1161" t="s">
        <v>1246</v>
      </c>
    </row>
    <row r="1162" spans="1:1" x14ac:dyDescent="0.45">
      <c r="A1162" t="s">
        <v>1247</v>
      </c>
    </row>
    <row r="1163" spans="1:1" x14ac:dyDescent="0.45">
      <c r="A1163" t="s">
        <v>1248</v>
      </c>
    </row>
    <row r="1164" spans="1:1" x14ac:dyDescent="0.45">
      <c r="A1164" t="s">
        <v>1249</v>
      </c>
    </row>
    <row r="1165" spans="1:1" x14ac:dyDescent="0.45">
      <c r="A1165" t="s">
        <v>1250</v>
      </c>
    </row>
    <row r="1166" spans="1:1" x14ac:dyDescent="0.45">
      <c r="A1166" t="s">
        <v>1251</v>
      </c>
    </row>
    <row r="1167" spans="1:1" x14ac:dyDescent="0.45">
      <c r="A1167" t="s">
        <v>1252</v>
      </c>
    </row>
    <row r="1168" spans="1:1" x14ac:dyDescent="0.45">
      <c r="A1168" t="s">
        <v>1253</v>
      </c>
    </row>
    <row r="1169" spans="1:1" x14ac:dyDescent="0.45">
      <c r="A1169" t="s">
        <v>1254</v>
      </c>
    </row>
    <row r="1170" spans="1:1" x14ac:dyDescent="0.45">
      <c r="A1170" t="s">
        <v>1255</v>
      </c>
    </row>
    <row r="1171" spans="1:1" x14ac:dyDescent="0.45">
      <c r="A1171" t="s">
        <v>1256</v>
      </c>
    </row>
    <row r="1172" spans="1:1" x14ac:dyDescent="0.45">
      <c r="A1172" t="s">
        <v>1257</v>
      </c>
    </row>
    <row r="1173" spans="1:1" x14ac:dyDescent="0.45">
      <c r="A1173" t="s">
        <v>1258</v>
      </c>
    </row>
    <row r="1174" spans="1:1" x14ac:dyDescent="0.45">
      <c r="A1174" t="s">
        <v>1259</v>
      </c>
    </row>
    <row r="1175" spans="1:1" x14ac:dyDescent="0.45">
      <c r="A1175" t="s">
        <v>1260</v>
      </c>
    </row>
    <row r="1176" spans="1:1" x14ac:dyDescent="0.45">
      <c r="A1176" t="s">
        <v>1261</v>
      </c>
    </row>
    <row r="1177" spans="1:1" x14ac:dyDescent="0.45">
      <c r="A1177" t="s">
        <v>1262</v>
      </c>
    </row>
    <row r="1178" spans="1:1" x14ac:dyDescent="0.45">
      <c r="A1178" t="s">
        <v>1263</v>
      </c>
    </row>
    <row r="1179" spans="1:1" x14ac:dyDescent="0.45">
      <c r="A1179" t="s">
        <v>1264</v>
      </c>
    </row>
    <row r="1180" spans="1:1" x14ac:dyDescent="0.45">
      <c r="A1180" t="s">
        <v>1265</v>
      </c>
    </row>
    <row r="1181" spans="1:1" x14ac:dyDescent="0.45">
      <c r="A1181" t="s">
        <v>1266</v>
      </c>
    </row>
    <row r="1182" spans="1:1" x14ac:dyDescent="0.45">
      <c r="A1182" t="s">
        <v>1267</v>
      </c>
    </row>
    <row r="1183" spans="1:1" x14ac:dyDescent="0.45">
      <c r="A1183" t="s">
        <v>1268</v>
      </c>
    </row>
    <row r="1184" spans="1:1" x14ac:dyDescent="0.45">
      <c r="A1184" t="s">
        <v>1269</v>
      </c>
    </row>
    <row r="1185" spans="1:1" x14ac:dyDescent="0.45">
      <c r="A1185" t="s">
        <v>1270</v>
      </c>
    </row>
    <row r="1186" spans="1:1" x14ac:dyDescent="0.45">
      <c r="A1186" t="s">
        <v>1271</v>
      </c>
    </row>
    <row r="1187" spans="1:1" x14ac:dyDescent="0.45">
      <c r="A1187" t="s">
        <v>1272</v>
      </c>
    </row>
    <row r="1188" spans="1:1" x14ac:dyDescent="0.45">
      <c r="A1188" t="s">
        <v>1273</v>
      </c>
    </row>
    <row r="1189" spans="1:1" x14ac:dyDescent="0.45">
      <c r="A1189" t="s">
        <v>1274</v>
      </c>
    </row>
    <row r="1190" spans="1:1" x14ac:dyDescent="0.45">
      <c r="A1190" t="s">
        <v>1275</v>
      </c>
    </row>
    <row r="1191" spans="1:1" x14ac:dyDescent="0.45">
      <c r="A1191" t="s">
        <v>1276</v>
      </c>
    </row>
    <row r="1192" spans="1:1" x14ac:dyDescent="0.45">
      <c r="A1192" t="s">
        <v>1277</v>
      </c>
    </row>
    <row r="1193" spans="1:1" x14ac:dyDescent="0.45">
      <c r="A1193" t="s">
        <v>1278</v>
      </c>
    </row>
    <row r="1194" spans="1:1" x14ac:dyDescent="0.45">
      <c r="A1194" t="s">
        <v>1279</v>
      </c>
    </row>
    <row r="1195" spans="1:1" x14ac:dyDescent="0.45">
      <c r="A1195" t="s">
        <v>1280</v>
      </c>
    </row>
    <row r="1196" spans="1:1" x14ac:dyDescent="0.45">
      <c r="A1196" t="s">
        <v>1281</v>
      </c>
    </row>
    <row r="1197" spans="1:1" x14ac:dyDescent="0.45">
      <c r="A1197" t="s">
        <v>1282</v>
      </c>
    </row>
    <row r="1198" spans="1:1" x14ac:dyDescent="0.45">
      <c r="A1198" t="s">
        <v>1283</v>
      </c>
    </row>
    <row r="1199" spans="1:1" x14ac:dyDescent="0.45">
      <c r="A1199" t="s">
        <v>1284</v>
      </c>
    </row>
    <row r="1200" spans="1:1" x14ac:dyDescent="0.45">
      <c r="A1200" t="s">
        <v>1285</v>
      </c>
    </row>
    <row r="1201" spans="1:1" x14ac:dyDescent="0.45">
      <c r="A1201" t="s">
        <v>1286</v>
      </c>
    </row>
    <row r="1202" spans="1:1" x14ac:dyDescent="0.45">
      <c r="A1202" t="s">
        <v>1287</v>
      </c>
    </row>
    <row r="1203" spans="1:1" x14ac:dyDescent="0.45">
      <c r="A1203" t="s">
        <v>1288</v>
      </c>
    </row>
    <row r="1204" spans="1:1" x14ac:dyDescent="0.45">
      <c r="A1204" t="s">
        <v>1289</v>
      </c>
    </row>
    <row r="1205" spans="1:1" x14ac:dyDescent="0.45">
      <c r="A1205" t="s">
        <v>1290</v>
      </c>
    </row>
    <row r="1206" spans="1:1" x14ac:dyDescent="0.45">
      <c r="A1206" t="s">
        <v>1291</v>
      </c>
    </row>
    <row r="1207" spans="1:1" x14ac:dyDescent="0.45">
      <c r="A1207" t="s">
        <v>1292</v>
      </c>
    </row>
    <row r="1208" spans="1:1" x14ac:dyDescent="0.45">
      <c r="A1208" t="s">
        <v>1293</v>
      </c>
    </row>
    <row r="1209" spans="1:1" x14ac:dyDescent="0.45">
      <c r="A1209" t="s">
        <v>1294</v>
      </c>
    </row>
    <row r="1210" spans="1:1" x14ac:dyDescent="0.45">
      <c r="A1210" t="s">
        <v>1295</v>
      </c>
    </row>
    <row r="1211" spans="1:1" x14ac:dyDescent="0.45">
      <c r="A1211" t="s">
        <v>1296</v>
      </c>
    </row>
    <row r="1212" spans="1:1" x14ac:dyDescent="0.45">
      <c r="A1212" t="s">
        <v>1297</v>
      </c>
    </row>
    <row r="1213" spans="1:1" x14ac:dyDescent="0.45">
      <c r="A1213" t="s">
        <v>1298</v>
      </c>
    </row>
    <row r="1214" spans="1:1" x14ac:dyDescent="0.45">
      <c r="A1214" t="s">
        <v>1299</v>
      </c>
    </row>
    <row r="1215" spans="1:1" x14ac:dyDescent="0.45">
      <c r="A1215" t="s">
        <v>1300</v>
      </c>
    </row>
    <row r="1216" spans="1:1" x14ac:dyDescent="0.45">
      <c r="A1216" t="s">
        <v>1301</v>
      </c>
    </row>
    <row r="1217" spans="1:1" x14ac:dyDescent="0.45">
      <c r="A1217" t="s">
        <v>1302</v>
      </c>
    </row>
    <row r="1218" spans="1:1" x14ac:dyDescent="0.45">
      <c r="A1218" t="s">
        <v>1303</v>
      </c>
    </row>
    <row r="1219" spans="1:1" x14ac:dyDescent="0.45">
      <c r="A1219" t="s">
        <v>1304</v>
      </c>
    </row>
    <row r="1220" spans="1:1" x14ac:dyDescent="0.45">
      <c r="A1220" t="s">
        <v>1305</v>
      </c>
    </row>
    <row r="1221" spans="1:1" x14ac:dyDescent="0.45">
      <c r="A1221" t="s">
        <v>1306</v>
      </c>
    </row>
    <row r="1222" spans="1:1" x14ac:dyDescent="0.45">
      <c r="A1222" t="s">
        <v>1307</v>
      </c>
    </row>
    <row r="1223" spans="1:1" x14ac:dyDescent="0.45">
      <c r="A1223" t="s">
        <v>1308</v>
      </c>
    </row>
    <row r="1224" spans="1:1" x14ac:dyDescent="0.45">
      <c r="A1224" t="s">
        <v>1309</v>
      </c>
    </row>
    <row r="1225" spans="1:1" x14ac:dyDescent="0.45">
      <c r="A1225" t="s">
        <v>1310</v>
      </c>
    </row>
    <row r="1226" spans="1:1" x14ac:dyDescent="0.45">
      <c r="A1226" t="s">
        <v>1311</v>
      </c>
    </row>
    <row r="1227" spans="1:1" x14ac:dyDescent="0.45">
      <c r="A1227" t="s">
        <v>1312</v>
      </c>
    </row>
    <row r="1228" spans="1:1" x14ac:dyDescent="0.45">
      <c r="A1228" t="s">
        <v>1313</v>
      </c>
    </row>
    <row r="1229" spans="1:1" x14ac:dyDescent="0.45">
      <c r="A1229" t="s">
        <v>1314</v>
      </c>
    </row>
    <row r="1230" spans="1:1" x14ac:dyDescent="0.45">
      <c r="A1230" t="s">
        <v>1315</v>
      </c>
    </row>
    <row r="1231" spans="1:1" x14ac:dyDescent="0.45">
      <c r="A1231" t="s">
        <v>1316</v>
      </c>
    </row>
    <row r="1232" spans="1:1" x14ac:dyDescent="0.45">
      <c r="A1232" t="s">
        <v>1317</v>
      </c>
    </row>
    <row r="1233" spans="1:1" x14ac:dyDescent="0.45">
      <c r="A1233" t="s">
        <v>1318</v>
      </c>
    </row>
    <row r="1234" spans="1:1" x14ac:dyDescent="0.45">
      <c r="A1234" t="s">
        <v>1319</v>
      </c>
    </row>
    <row r="1235" spans="1:1" x14ac:dyDescent="0.45">
      <c r="A1235" t="s">
        <v>1320</v>
      </c>
    </row>
    <row r="1236" spans="1:1" x14ac:dyDescent="0.45">
      <c r="A1236" t="s">
        <v>1321</v>
      </c>
    </row>
    <row r="1237" spans="1:1" x14ac:dyDescent="0.45">
      <c r="A1237" t="s">
        <v>1322</v>
      </c>
    </row>
    <row r="1238" spans="1:1" x14ac:dyDescent="0.45">
      <c r="A1238" t="s">
        <v>1323</v>
      </c>
    </row>
    <row r="1239" spans="1:1" x14ac:dyDescent="0.45">
      <c r="A1239" t="s">
        <v>1324</v>
      </c>
    </row>
    <row r="1240" spans="1:1" x14ac:dyDescent="0.45">
      <c r="A1240" t="s">
        <v>1325</v>
      </c>
    </row>
    <row r="1241" spans="1:1" x14ac:dyDescent="0.45">
      <c r="A1241" t="s">
        <v>1326</v>
      </c>
    </row>
    <row r="1242" spans="1:1" x14ac:dyDescent="0.45">
      <c r="A1242" t="s">
        <v>1327</v>
      </c>
    </row>
    <row r="1243" spans="1:1" x14ac:dyDescent="0.45">
      <c r="A1243" t="s">
        <v>1328</v>
      </c>
    </row>
    <row r="1244" spans="1:1" x14ac:dyDescent="0.45">
      <c r="A1244" t="s">
        <v>1329</v>
      </c>
    </row>
    <row r="1245" spans="1:1" x14ac:dyDescent="0.45">
      <c r="A1245" t="s">
        <v>1330</v>
      </c>
    </row>
    <row r="1246" spans="1:1" x14ac:dyDescent="0.45">
      <c r="A1246" t="s">
        <v>1331</v>
      </c>
    </row>
    <row r="1247" spans="1:1" x14ac:dyDescent="0.45">
      <c r="A1247" t="s">
        <v>1332</v>
      </c>
    </row>
    <row r="1248" spans="1:1" x14ac:dyDescent="0.45">
      <c r="A1248" t="s">
        <v>1333</v>
      </c>
    </row>
    <row r="1249" spans="1:1" x14ac:dyDescent="0.45">
      <c r="A1249" t="s">
        <v>1334</v>
      </c>
    </row>
    <row r="1250" spans="1:1" x14ac:dyDescent="0.45">
      <c r="A1250" t="s">
        <v>1335</v>
      </c>
    </row>
    <row r="1251" spans="1:1" x14ac:dyDescent="0.45">
      <c r="A1251" t="s">
        <v>1336</v>
      </c>
    </row>
    <row r="1252" spans="1:1" x14ac:dyDescent="0.45">
      <c r="A1252" t="s">
        <v>1337</v>
      </c>
    </row>
    <row r="1253" spans="1:1" x14ac:dyDescent="0.45">
      <c r="A1253" t="s">
        <v>1338</v>
      </c>
    </row>
    <row r="1254" spans="1:1" x14ac:dyDescent="0.45">
      <c r="A1254" t="s">
        <v>1339</v>
      </c>
    </row>
    <row r="1255" spans="1:1" x14ac:dyDescent="0.45">
      <c r="A1255" t="s">
        <v>1340</v>
      </c>
    </row>
    <row r="1256" spans="1:1" x14ac:dyDescent="0.45">
      <c r="A1256" t="s">
        <v>1341</v>
      </c>
    </row>
    <row r="1257" spans="1:1" x14ac:dyDescent="0.45">
      <c r="A1257" t="s">
        <v>1342</v>
      </c>
    </row>
    <row r="1258" spans="1:1" x14ac:dyDescent="0.45">
      <c r="A1258" t="s">
        <v>1343</v>
      </c>
    </row>
    <row r="1259" spans="1:1" x14ac:dyDescent="0.45">
      <c r="A1259" t="s">
        <v>1344</v>
      </c>
    </row>
    <row r="1260" spans="1:1" x14ac:dyDescent="0.45">
      <c r="A1260" t="s">
        <v>1345</v>
      </c>
    </row>
    <row r="1261" spans="1:1" x14ac:dyDescent="0.45">
      <c r="A1261" t="s">
        <v>1346</v>
      </c>
    </row>
    <row r="1262" spans="1:1" x14ac:dyDescent="0.45">
      <c r="A1262" t="s">
        <v>1347</v>
      </c>
    </row>
    <row r="1263" spans="1:1" x14ac:dyDescent="0.45">
      <c r="A1263" t="s">
        <v>1348</v>
      </c>
    </row>
    <row r="1264" spans="1:1" x14ac:dyDescent="0.45">
      <c r="A1264" t="s">
        <v>1349</v>
      </c>
    </row>
    <row r="1265" spans="1:1" x14ac:dyDescent="0.45">
      <c r="A1265" t="s">
        <v>1350</v>
      </c>
    </row>
    <row r="1266" spans="1:1" x14ac:dyDescent="0.45">
      <c r="A1266" t="s">
        <v>1351</v>
      </c>
    </row>
    <row r="1267" spans="1:1" x14ac:dyDescent="0.45">
      <c r="A1267" t="s">
        <v>1352</v>
      </c>
    </row>
    <row r="1268" spans="1:1" x14ac:dyDescent="0.45">
      <c r="A1268" t="s">
        <v>1353</v>
      </c>
    </row>
    <row r="1269" spans="1:1" x14ac:dyDescent="0.45">
      <c r="A1269" t="s">
        <v>1354</v>
      </c>
    </row>
    <row r="1270" spans="1:1" x14ac:dyDescent="0.45">
      <c r="A1270" t="s">
        <v>1355</v>
      </c>
    </row>
    <row r="1271" spans="1:1" x14ac:dyDescent="0.45">
      <c r="A1271" t="s">
        <v>1356</v>
      </c>
    </row>
    <row r="1272" spans="1:1" x14ac:dyDescent="0.45">
      <c r="A1272" t="s">
        <v>1357</v>
      </c>
    </row>
    <row r="1273" spans="1:1" x14ac:dyDescent="0.45">
      <c r="A1273" t="s">
        <v>1358</v>
      </c>
    </row>
    <row r="1274" spans="1:1" x14ac:dyDescent="0.45">
      <c r="A1274" t="s">
        <v>1359</v>
      </c>
    </row>
    <row r="1275" spans="1:1" x14ac:dyDescent="0.45">
      <c r="A1275" t="s">
        <v>1360</v>
      </c>
    </row>
    <row r="1276" spans="1:1" x14ac:dyDescent="0.45">
      <c r="A1276" t="s">
        <v>1361</v>
      </c>
    </row>
    <row r="1277" spans="1:1" x14ac:dyDescent="0.45">
      <c r="A1277" t="s">
        <v>1362</v>
      </c>
    </row>
    <row r="1278" spans="1:1" x14ac:dyDescent="0.45">
      <c r="A1278" t="s">
        <v>1363</v>
      </c>
    </row>
    <row r="1279" spans="1:1" x14ac:dyDescent="0.45">
      <c r="A1279" t="s">
        <v>1364</v>
      </c>
    </row>
    <row r="1280" spans="1:1" x14ac:dyDescent="0.45">
      <c r="A1280" t="s">
        <v>1365</v>
      </c>
    </row>
    <row r="1281" spans="1:1" x14ac:dyDescent="0.45">
      <c r="A1281" t="s">
        <v>1366</v>
      </c>
    </row>
    <row r="1282" spans="1:1" x14ac:dyDescent="0.45">
      <c r="A1282" t="s">
        <v>1367</v>
      </c>
    </row>
    <row r="1283" spans="1:1" x14ac:dyDescent="0.45">
      <c r="A1283" t="s">
        <v>1368</v>
      </c>
    </row>
    <row r="1284" spans="1:1" x14ac:dyDescent="0.45">
      <c r="A1284" t="s">
        <v>1369</v>
      </c>
    </row>
    <row r="1285" spans="1:1" x14ac:dyDescent="0.45">
      <c r="A1285" t="s">
        <v>1370</v>
      </c>
    </row>
    <row r="1286" spans="1:1" x14ac:dyDescent="0.45">
      <c r="A1286" t="s">
        <v>1371</v>
      </c>
    </row>
    <row r="1287" spans="1:1" x14ac:dyDescent="0.45">
      <c r="A1287" t="s">
        <v>1372</v>
      </c>
    </row>
    <row r="1288" spans="1:1" x14ac:dyDescent="0.45">
      <c r="A1288" t="s">
        <v>1373</v>
      </c>
    </row>
    <row r="1289" spans="1:1" x14ac:dyDescent="0.45">
      <c r="A1289" t="s">
        <v>1374</v>
      </c>
    </row>
    <row r="1290" spans="1:1" x14ac:dyDescent="0.45">
      <c r="A1290" t="s">
        <v>1375</v>
      </c>
    </row>
    <row r="1291" spans="1:1" x14ac:dyDescent="0.45">
      <c r="A1291" t="s">
        <v>1376</v>
      </c>
    </row>
    <row r="1292" spans="1:1" x14ac:dyDescent="0.45">
      <c r="A1292" t="s">
        <v>1377</v>
      </c>
    </row>
    <row r="1293" spans="1:1" x14ac:dyDescent="0.45">
      <c r="A1293" t="s">
        <v>1378</v>
      </c>
    </row>
    <row r="1294" spans="1:1" x14ac:dyDescent="0.45">
      <c r="A1294" t="s">
        <v>1379</v>
      </c>
    </row>
    <row r="1295" spans="1:1" x14ac:dyDescent="0.45">
      <c r="A1295" t="s">
        <v>1380</v>
      </c>
    </row>
    <row r="1296" spans="1:1" x14ac:dyDescent="0.45">
      <c r="A1296" t="s">
        <v>1381</v>
      </c>
    </row>
    <row r="1297" spans="1:1" x14ac:dyDescent="0.45">
      <c r="A1297" t="s">
        <v>1382</v>
      </c>
    </row>
    <row r="1298" spans="1:1" x14ac:dyDescent="0.45">
      <c r="A1298" t="s">
        <v>1383</v>
      </c>
    </row>
    <row r="1299" spans="1:1" x14ac:dyDescent="0.45">
      <c r="A1299" t="s">
        <v>1384</v>
      </c>
    </row>
    <row r="1300" spans="1:1" x14ac:dyDescent="0.45">
      <c r="A1300" t="s">
        <v>1385</v>
      </c>
    </row>
    <row r="1301" spans="1:1" x14ac:dyDescent="0.45">
      <c r="A1301" t="s">
        <v>1386</v>
      </c>
    </row>
    <row r="1302" spans="1:1" x14ac:dyDescent="0.45">
      <c r="A1302" t="s">
        <v>1387</v>
      </c>
    </row>
    <row r="1303" spans="1:1" x14ac:dyDescent="0.45">
      <c r="A1303" t="s">
        <v>1388</v>
      </c>
    </row>
    <row r="1304" spans="1:1" x14ac:dyDescent="0.45">
      <c r="A1304" t="s">
        <v>1389</v>
      </c>
    </row>
    <row r="1305" spans="1:1" x14ac:dyDescent="0.45">
      <c r="A1305" t="s">
        <v>1390</v>
      </c>
    </row>
    <row r="1306" spans="1:1" x14ac:dyDescent="0.45">
      <c r="A1306" t="s">
        <v>1391</v>
      </c>
    </row>
    <row r="1307" spans="1:1" x14ac:dyDescent="0.45">
      <c r="A1307" t="s">
        <v>1392</v>
      </c>
    </row>
    <row r="1308" spans="1:1" x14ac:dyDescent="0.45">
      <c r="A1308" t="s">
        <v>1393</v>
      </c>
    </row>
    <row r="1309" spans="1:1" x14ac:dyDescent="0.45">
      <c r="A1309" t="s">
        <v>1394</v>
      </c>
    </row>
    <row r="1310" spans="1:1" x14ac:dyDescent="0.45">
      <c r="A1310" t="s">
        <v>1395</v>
      </c>
    </row>
    <row r="1311" spans="1:1" x14ac:dyDescent="0.45">
      <c r="A1311" t="s">
        <v>1396</v>
      </c>
    </row>
    <row r="1312" spans="1:1" x14ac:dyDescent="0.45">
      <c r="A1312" t="s">
        <v>1397</v>
      </c>
    </row>
    <row r="1313" spans="1:1" x14ac:dyDescent="0.45">
      <c r="A1313" t="s">
        <v>1398</v>
      </c>
    </row>
    <row r="1314" spans="1:1" x14ac:dyDescent="0.45">
      <c r="A1314" t="s">
        <v>1399</v>
      </c>
    </row>
    <row r="1315" spans="1:1" x14ac:dyDescent="0.45">
      <c r="A1315" t="s">
        <v>1400</v>
      </c>
    </row>
    <row r="1316" spans="1:1" x14ac:dyDescent="0.45">
      <c r="A1316" t="s">
        <v>1401</v>
      </c>
    </row>
    <row r="1317" spans="1:1" x14ac:dyDescent="0.45">
      <c r="A1317" t="s">
        <v>1402</v>
      </c>
    </row>
    <row r="1318" spans="1:1" x14ac:dyDescent="0.45">
      <c r="A1318" t="s">
        <v>1403</v>
      </c>
    </row>
    <row r="1319" spans="1:1" x14ac:dyDescent="0.45">
      <c r="A1319" t="s">
        <v>1404</v>
      </c>
    </row>
    <row r="1320" spans="1:1" x14ac:dyDescent="0.45">
      <c r="A1320" t="s">
        <v>1405</v>
      </c>
    </row>
    <row r="1321" spans="1:1" x14ac:dyDescent="0.45">
      <c r="A1321" t="s">
        <v>1406</v>
      </c>
    </row>
    <row r="1322" spans="1:1" x14ac:dyDescent="0.45">
      <c r="A1322" t="s">
        <v>1407</v>
      </c>
    </row>
    <row r="1323" spans="1:1" x14ac:dyDescent="0.45">
      <c r="A1323" t="s">
        <v>1408</v>
      </c>
    </row>
    <row r="1324" spans="1:1" x14ac:dyDescent="0.45">
      <c r="A1324" t="s">
        <v>1409</v>
      </c>
    </row>
    <row r="1325" spans="1:1" x14ac:dyDescent="0.45">
      <c r="A1325" t="s">
        <v>1410</v>
      </c>
    </row>
    <row r="1326" spans="1:1" x14ac:dyDescent="0.45">
      <c r="A1326" t="s">
        <v>1411</v>
      </c>
    </row>
    <row r="1327" spans="1:1" x14ac:dyDescent="0.45">
      <c r="A1327" t="s">
        <v>1412</v>
      </c>
    </row>
    <row r="1328" spans="1:1" x14ac:dyDescent="0.45">
      <c r="A1328" t="s">
        <v>1413</v>
      </c>
    </row>
    <row r="1329" spans="1:1" x14ac:dyDescent="0.45">
      <c r="A1329" t="s">
        <v>1414</v>
      </c>
    </row>
    <row r="1330" spans="1:1" x14ac:dyDescent="0.45">
      <c r="A1330" t="s">
        <v>1415</v>
      </c>
    </row>
    <row r="1331" spans="1:1" x14ac:dyDescent="0.45">
      <c r="A1331" t="s">
        <v>1416</v>
      </c>
    </row>
    <row r="1332" spans="1:1" x14ac:dyDescent="0.45">
      <c r="A1332" t="s">
        <v>1417</v>
      </c>
    </row>
    <row r="1333" spans="1:1" x14ac:dyDescent="0.45">
      <c r="A1333" t="s">
        <v>1418</v>
      </c>
    </row>
    <row r="1334" spans="1:1" x14ac:dyDescent="0.45">
      <c r="A1334" t="s">
        <v>1419</v>
      </c>
    </row>
    <row r="1335" spans="1:1" x14ac:dyDescent="0.45">
      <c r="A1335" t="s">
        <v>1420</v>
      </c>
    </row>
    <row r="1336" spans="1:1" x14ac:dyDescent="0.45">
      <c r="A1336" t="s">
        <v>1421</v>
      </c>
    </row>
    <row r="1337" spans="1:1" x14ac:dyDescent="0.45">
      <c r="A1337" t="s">
        <v>1422</v>
      </c>
    </row>
    <row r="1338" spans="1:1" x14ac:dyDescent="0.45">
      <c r="A1338" t="s">
        <v>1423</v>
      </c>
    </row>
    <row r="1339" spans="1:1" x14ac:dyDescent="0.45">
      <c r="A1339" t="s">
        <v>1424</v>
      </c>
    </row>
    <row r="1340" spans="1:1" x14ac:dyDescent="0.45">
      <c r="A1340" t="s">
        <v>1425</v>
      </c>
    </row>
    <row r="1341" spans="1:1" x14ac:dyDescent="0.45">
      <c r="A1341" t="s">
        <v>1426</v>
      </c>
    </row>
    <row r="1342" spans="1:1" x14ac:dyDescent="0.45">
      <c r="A1342" t="s">
        <v>1427</v>
      </c>
    </row>
    <row r="1343" spans="1:1" x14ac:dyDescent="0.45">
      <c r="A1343" t="s">
        <v>1428</v>
      </c>
    </row>
    <row r="1344" spans="1:1" x14ac:dyDescent="0.45">
      <c r="A1344" t="s">
        <v>1429</v>
      </c>
    </row>
    <row r="1345" spans="1:1" x14ac:dyDescent="0.45">
      <c r="A1345" t="s">
        <v>1430</v>
      </c>
    </row>
    <row r="1346" spans="1:1" x14ac:dyDescent="0.45">
      <c r="A1346" t="s">
        <v>1431</v>
      </c>
    </row>
    <row r="1347" spans="1:1" x14ac:dyDescent="0.45">
      <c r="A1347" t="s">
        <v>1432</v>
      </c>
    </row>
    <row r="1348" spans="1:1" x14ac:dyDescent="0.45">
      <c r="A1348" t="s">
        <v>1433</v>
      </c>
    </row>
    <row r="1349" spans="1:1" x14ac:dyDescent="0.45">
      <c r="A1349" t="s">
        <v>1434</v>
      </c>
    </row>
    <row r="1350" spans="1:1" x14ac:dyDescent="0.45">
      <c r="A1350" t="s">
        <v>1435</v>
      </c>
    </row>
    <row r="1351" spans="1:1" x14ac:dyDescent="0.45">
      <c r="A1351" t="s">
        <v>1436</v>
      </c>
    </row>
    <row r="1352" spans="1:1" x14ac:dyDescent="0.45">
      <c r="A1352" t="s">
        <v>1437</v>
      </c>
    </row>
    <row r="1353" spans="1:1" x14ac:dyDescent="0.45">
      <c r="A1353" t="s">
        <v>1438</v>
      </c>
    </row>
    <row r="1354" spans="1:1" x14ac:dyDescent="0.45">
      <c r="A1354" t="s">
        <v>1439</v>
      </c>
    </row>
    <row r="1355" spans="1:1" x14ac:dyDescent="0.45">
      <c r="A1355" t="s">
        <v>1440</v>
      </c>
    </row>
    <row r="1356" spans="1:1" x14ac:dyDescent="0.45">
      <c r="A1356" t="s">
        <v>1441</v>
      </c>
    </row>
    <row r="1357" spans="1:1" x14ac:dyDescent="0.45">
      <c r="A1357" t="s">
        <v>1442</v>
      </c>
    </row>
    <row r="1358" spans="1:1" x14ac:dyDescent="0.45">
      <c r="A1358" t="s">
        <v>1443</v>
      </c>
    </row>
    <row r="1359" spans="1:1" x14ac:dyDescent="0.45">
      <c r="A1359" t="s">
        <v>1444</v>
      </c>
    </row>
    <row r="1360" spans="1:1" x14ac:dyDescent="0.45">
      <c r="A1360" t="s">
        <v>1445</v>
      </c>
    </row>
    <row r="1361" spans="1:1" x14ac:dyDescent="0.45">
      <c r="A1361" t="s">
        <v>1446</v>
      </c>
    </row>
    <row r="1362" spans="1:1" x14ac:dyDescent="0.45">
      <c r="A1362" t="s">
        <v>1447</v>
      </c>
    </row>
    <row r="1363" spans="1:1" x14ac:dyDescent="0.45">
      <c r="A1363" t="s">
        <v>1448</v>
      </c>
    </row>
    <row r="1364" spans="1:1" x14ac:dyDescent="0.45">
      <c r="A1364" t="s">
        <v>1449</v>
      </c>
    </row>
    <row r="1365" spans="1:1" x14ac:dyDescent="0.45">
      <c r="A1365" t="s">
        <v>1450</v>
      </c>
    </row>
    <row r="1366" spans="1:1" x14ac:dyDescent="0.45">
      <c r="A1366" t="s">
        <v>1451</v>
      </c>
    </row>
    <row r="1367" spans="1:1" x14ac:dyDescent="0.45">
      <c r="A1367" t="s">
        <v>1452</v>
      </c>
    </row>
    <row r="1368" spans="1:1" x14ac:dyDescent="0.45">
      <c r="A1368" t="s">
        <v>1453</v>
      </c>
    </row>
    <row r="1369" spans="1:1" x14ac:dyDescent="0.45">
      <c r="A1369" t="s">
        <v>1454</v>
      </c>
    </row>
    <row r="1370" spans="1:1" x14ac:dyDescent="0.45">
      <c r="A1370" t="s">
        <v>1455</v>
      </c>
    </row>
    <row r="1371" spans="1:1" x14ac:dyDescent="0.45">
      <c r="A1371" t="s">
        <v>1456</v>
      </c>
    </row>
    <row r="1372" spans="1:1" x14ac:dyDescent="0.45">
      <c r="A1372" t="s">
        <v>1457</v>
      </c>
    </row>
    <row r="1373" spans="1:1" x14ac:dyDescent="0.45">
      <c r="A1373" t="s">
        <v>1458</v>
      </c>
    </row>
    <row r="1374" spans="1:1" x14ac:dyDescent="0.45">
      <c r="A1374" t="s">
        <v>1459</v>
      </c>
    </row>
    <row r="1375" spans="1:1" x14ac:dyDescent="0.45">
      <c r="A1375" t="s">
        <v>1460</v>
      </c>
    </row>
    <row r="1376" spans="1:1" x14ac:dyDescent="0.45">
      <c r="A1376" t="s">
        <v>1461</v>
      </c>
    </row>
    <row r="1377" spans="1:1" x14ac:dyDescent="0.45">
      <c r="A1377" t="s">
        <v>1462</v>
      </c>
    </row>
    <row r="1378" spans="1:1" x14ac:dyDescent="0.45">
      <c r="A1378" t="s">
        <v>1463</v>
      </c>
    </row>
    <row r="1379" spans="1:1" x14ac:dyDescent="0.45">
      <c r="A1379" t="s">
        <v>1464</v>
      </c>
    </row>
    <row r="1380" spans="1:1" x14ac:dyDescent="0.45">
      <c r="A1380" t="s">
        <v>1465</v>
      </c>
    </row>
    <row r="1381" spans="1:1" x14ac:dyDescent="0.45">
      <c r="A1381" t="s">
        <v>1466</v>
      </c>
    </row>
    <row r="1382" spans="1:1" x14ac:dyDescent="0.45">
      <c r="A1382" t="s">
        <v>1467</v>
      </c>
    </row>
    <row r="1383" spans="1:1" x14ac:dyDescent="0.45">
      <c r="A1383" t="s">
        <v>1468</v>
      </c>
    </row>
    <row r="1384" spans="1:1" x14ac:dyDescent="0.45">
      <c r="A1384" t="s">
        <v>1469</v>
      </c>
    </row>
    <row r="1385" spans="1:1" x14ac:dyDescent="0.45">
      <c r="A1385" t="s">
        <v>1470</v>
      </c>
    </row>
    <row r="1386" spans="1:1" x14ac:dyDescent="0.45">
      <c r="A1386" t="s">
        <v>1471</v>
      </c>
    </row>
    <row r="1387" spans="1:1" x14ac:dyDescent="0.45">
      <c r="A1387" t="s">
        <v>1472</v>
      </c>
    </row>
    <row r="1388" spans="1:1" x14ac:dyDescent="0.45">
      <c r="A1388" t="s">
        <v>1473</v>
      </c>
    </row>
    <row r="1389" spans="1:1" x14ac:dyDescent="0.45">
      <c r="A1389" t="s">
        <v>1474</v>
      </c>
    </row>
    <row r="1390" spans="1:1" x14ac:dyDescent="0.45">
      <c r="A1390" t="s">
        <v>1475</v>
      </c>
    </row>
    <row r="1391" spans="1:1" x14ac:dyDescent="0.45">
      <c r="A1391" t="s">
        <v>1476</v>
      </c>
    </row>
    <row r="1392" spans="1:1" x14ac:dyDescent="0.45">
      <c r="A1392" t="s">
        <v>1477</v>
      </c>
    </row>
    <row r="1393" spans="1:1" x14ac:dyDescent="0.45">
      <c r="A1393" t="s">
        <v>1478</v>
      </c>
    </row>
    <row r="1394" spans="1:1" x14ac:dyDescent="0.45">
      <c r="A1394" t="s">
        <v>1479</v>
      </c>
    </row>
    <row r="1395" spans="1:1" x14ac:dyDescent="0.45">
      <c r="A1395" t="s">
        <v>1480</v>
      </c>
    </row>
    <row r="1396" spans="1:1" x14ac:dyDescent="0.45">
      <c r="A1396" t="s">
        <v>1481</v>
      </c>
    </row>
    <row r="1397" spans="1:1" x14ac:dyDescent="0.45">
      <c r="A1397" t="s">
        <v>1482</v>
      </c>
    </row>
    <row r="1398" spans="1:1" x14ac:dyDescent="0.45">
      <c r="A1398" t="s">
        <v>1483</v>
      </c>
    </row>
    <row r="1399" spans="1:1" x14ac:dyDescent="0.45">
      <c r="A1399" t="s">
        <v>1484</v>
      </c>
    </row>
    <row r="1400" spans="1:1" x14ac:dyDescent="0.45">
      <c r="A1400" t="s">
        <v>1485</v>
      </c>
    </row>
    <row r="1401" spans="1:1" x14ac:dyDescent="0.45">
      <c r="A1401" t="s">
        <v>1486</v>
      </c>
    </row>
    <row r="1402" spans="1:1" x14ac:dyDescent="0.45">
      <c r="A1402" t="s">
        <v>1487</v>
      </c>
    </row>
    <row r="1403" spans="1:1" x14ac:dyDescent="0.45">
      <c r="A1403" t="s">
        <v>1488</v>
      </c>
    </row>
    <row r="1404" spans="1:1" x14ac:dyDescent="0.45">
      <c r="A1404" t="s">
        <v>1489</v>
      </c>
    </row>
    <row r="1405" spans="1:1" x14ac:dyDescent="0.45">
      <c r="A1405" t="s">
        <v>1490</v>
      </c>
    </row>
    <row r="1406" spans="1:1" x14ac:dyDescent="0.45">
      <c r="A1406" t="s">
        <v>1491</v>
      </c>
    </row>
    <row r="1407" spans="1:1" x14ac:dyDescent="0.45">
      <c r="A1407" t="s">
        <v>1492</v>
      </c>
    </row>
    <row r="1408" spans="1:1" x14ac:dyDescent="0.45">
      <c r="A1408" t="s">
        <v>1493</v>
      </c>
    </row>
    <row r="1409" spans="1:1" x14ac:dyDescent="0.45">
      <c r="A1409" t="s">
        <v>1494</v>
      </c>
    </row>
    <row r="1410" spans="1:1" x14ac:dyDescent="0.45">
      <c r="A1410" t="s">
        <v>1495</v>
      </c>
    </row>
    <row r="1411" spans="1:1" x14ac:dyDescent="0.45">
      <c r="A1411" t="s">
        <v>1496</v>
      </c>
    </row>
    <row r="1412" spans="1:1" x14ac:dyDescent="0.45">
      <c r="A1412" t="s">
        <v>1497</v>
      </c>
    </row>
    <row r="1413" spans="1:1" x14ac:dyDescent="0.45">
      <c r="A1413" t="s">
        <v>1498</v>
      </c>
    </row>
    <row r="1414" spans="1:1" x14ac:dyDescent="0.45">
      <c r="A1414" t="s">
        <v>1499</v>
      </c>
    </row>
    <row r="1415" spans="1:1" x14ac:dyDescent="0.45">
      <c r="A1415" t="s">
        <v>1500</v>
      </c>
    </row>
    <row r="1416" spans="1:1" x14ac:dyDescent="0.45">
      <c r="A1416" t="s">
        <v>1501</v>
      </c>
    </row>
    <row r="1417" spans="1:1" x14ac:dyDescent="0.45">
      <c r="A1417" t="s">
        <v>1502</v>
      </c>
    </row>
    <row r="1418" spans="1:1" x14ac:dyDescent="0.45">
      <c r="A1418" t="s">
        <v>1503</v>
      </c>
    </row>
    <row r="1419" spans="1:1" x14ac:dyDescent="0.45">
      <c r="A1419" t="s">
        <v>1504</v>
      </c>
    </row>
    <row r="1420" spans="1:1" x14ac:dyDescent="0.45">
      <c r="A1420" t="s">
        <v>1505</v>
      </c>
    </row>
    <row r="1421" spans="1:1" x14ac:dyDescent="0.45">
      <c r="A1421" t="s">
        <v>1506</v>
      </c>
    </row>
    <row r="1422" spans="1:1" x14ac:dyDescent="0.45">
      <c r="A1422" t="s">
        <v>1507</v>
      </c>
    </row>
    <row r="1423" spans="1:1" x14ac:dyDescent="0.45">
      <c r="A1423" t="s">
        <v>1508</v>
      </c>
    </row>
    <row r="1424" spans="1:1" x14ac:dyDescent="0.45">
      <c r="A1424" t="s">
        <v>1509</v>
      </c>
    </row>
    <row r="1425" spans="1:1" x14ac:dyDescent="0.45">
      <c r="A1425" t="s">
        <v>1510</v>
      </c>
    </row>
    <row r="1426" spans="1:1" x14ac:dyDescent="0.45">
      <c r="A1426" t="s">
        <v>1511</v>
      </c>
    </row>
    <row r="1427" spans="1:1" x14ac:dyDescent="0.45">
      <c r="A1427" t="s">
        <v>1512</v>
      </c>
    </row>
    <row r="1428" spans="1:1" x14ac:dyDescent="0.45">
      <c r="A1428" t="s">
        <v>1513</v>
      </c>
    </row>
    <row r="1429" spans="1:1" x14ac:dyDescent="0.45">
      <c r="A1429" t="s">
        <v>1514</v>
      </c>
    </row>
    <row r="1430" spans="1:1" x14ac:dyDescent="0.45">
      <c r="A1430" t="s">
        <v>1515</v>
      </c>
    </row>
    <row r="1431" spans="1:1" x14ac:dyDescent="0.45">
      <c r="A1431" t="s">
        <v>1516</v>
      </c>
    </row>
    <row r="1432" spans="1:1" x14ac:dyDescent="0.45">
      <c r="A1432" t="s">
        <v>1517</v>
      </c>
    </row>
    <row r="1433" spans="1:1" x14ac:dyDescent="0.45">
      <c r="A1433" t="s">
        <v>1518</v>
      </c>
    </row>
    <row r="1434" spans="1:1" x14ac:dyDescent="0.45">
      <c r="A1434" t="s">
        <v>1519</v>
      </c>
    </row>
    <row r="1435" spans="1:1" x14ac:dyDescent="0.45">
      <c r="A1435" t="s">
        <v>1520</v>
      </c>
    </row>
    <row r="1436" spans="1:1" x14ac:dyDescent="0.45">
      <c r="A1436" t="s">
        <v>1521</v>
      </c>
    </row>
    <row r="1437" spans="1:1" x14ac:dyDescent="0.45">
      <c r="A1437" t="s">
        <v>1522</v>
      </c>
    </row>
    <row r="1438" spans="1:1" x14ac:dyDescent="0.45">
      <c r="A1438" t="s">
        <v>1523</v>
      </c>
    </row>
    <row r="1439" spans="1:1" x14ac:dyDescent="0.45">
      <c r="A1439" t="s">
        <v>1524</v>
      </c>
    </row>
    <row r="1440" spans="1:1" x14ac:dyDescent="0.45">
      <c r="A1440" t="s">
        <v>1525</v>
      </c>
    </row>
    <row r="1441" spans="1:1" x14ac:dyDescent="0.45">
      <c r="A1441" t="s">
        <v>1526</v>
      </c>
    </row>
    <row r="1442" spans="1:1" x14ac:dyDescent="0.45">
      <c r="A1442" t="s">
        <v>1527</v>
      </c>
    </row>
    <row r="1443" spans="1:1" x14ac:dyDescent="0.45">
      <c r="A1443" t="s">
        <v>1528</v>
      </c>
    </row>
    <row r="1444" spans="1:1" x14ac:dyDescent="0.45">
      <c r="A1444" t="s">
        <v>1529</v>
      </c>
    </row>
    <row r="1445" spans="1:1" x14ac:dyDescent="0.45">
      <c r="A1445" t="s">
        <v>1530</v>
      </c>
    </row>
    <row r="1446" spans="1:1" x14ac:dyDescent="0.45">
      <c r="A1446" t="s">
        <v>1531</v>
      </c>
    </row>
    <row r="1447" spans="1:1" x14ac:dyDescent="0.45">
      <c r="A1447" t="s">
        <v>1532</v>
      </c>
    </row>
    <row r="1448" spans="1:1" x14ac:dyDescent="0.45">
      <c r="A1448" t="s">
        <v>1533</v>
      </c>
    </row>
    <row r="1449" spans="1:1" x14ac:dyDescent="0.45">
      <c r="A1449" t="s">
        <v>1534</v>
      </c>
    </row>
    <row r="1450" spans="1:1" x14ac:dyDescent="0.45">
      <c r="A1450" t="s">
        <v>1535</v>
      </c>
    </row>
    <row r="1451" spans="1:1" x14ac:dyDescent="0.45">
      <c r="A1451" t="s">
        <v>1536</v>
      </c>
    </row>
    <row r="1452" spans="1:1" x14ac:dyDescent="0.45">
      <c r="A1452" t="s">
        <v>1537</v>
      </c>
    </row>
    <row r="1453" spans="1:1" x14ac:dyDescent="0.45">
      <c r="A1453" t="s">
        <v>1538</v>
      </c>
    </row>
    <row r="1454" spans="1:1" x14ac:dyDescent="0.45">
      <c r="A1454" t="s">
        <v>1539</v>
      </c>
    </row>
    <row r="1455" spans="1:1" x14ac:dyDescent="0.45">
      <c r="A1455" t="s">
        <v>1540</v>
      </c>
    </row>
    <row r="1456" spans="1:1" x14ac:dyDescent="0.45">
      <c r="A1456" t="s">
        <v>1541</v>
      </c>
    </row>
    <row r="1457" spans="1:1" x14ac:dyDescent="0.45">
      <c r="A1457" t="s">
        <v>1542</v>
      </c>
    </row>
    <row r="1458" spans="1:1" x14ac:dyDescent="0.45">
      <c r="A1458" t="s">
        <v>1543</v>
      </c>
    </row>
    <row r="1459" spans="1:1" x14ac:dyDescent="0.45">
      <c r="A1459" t="s">
        <v>1544</v>
      </c>
    </row>
    <row r="1460" spans="1:1" x14ac:dyDescent="0.45">
      <c r="A1460" t="s">
        <v>1545</v>
      </c>
    </row>
    <row r="1461" spans="1:1" x14ac:dyDescent="0.45">
      <c r="A1461" t="s">
        <v>1546</v>
      </c>
    </row>
    <row r="1462" spans="1:1" x14ac:dyDescent="0.45">
      <c r="A1462" t="s">
        <v>1547</v>
      </c>
    </row>
    <row r="1463" spans="1:1" x14ac:dyDescent="0.45">
      <c r="A1463" t="s">
        <v>1548</v>
      </c>
    </row>
    <row r="1464" spans="1:1" x14ac:dyDescent="0.45">
      <c r="A1464" t="s">
        <v>1549</v>
      </c>
    </row>
    <row r="1465" spans="1:1" x14ac:dyDescent="0.45">
      <c r="A1465" t="s">
        <v>1550</v>
      </c>
    </row>
    <row r="1466" spans="1:1" x14ac:dyDescent="0.45">
      <c r="A1466" t="s">
        <v>1551</v>
      </c>
    </row>
    <row r="1467" spans="1:1" x14ac:dyDescent="0.45">
      <c r="A1467" t="s">
        <v>1552</v>
      </c>
    </row>
    <row r="1468" spans="1:1" x14ac:dyDescent="0.45">
      <c r="A1468" t="s">
        <v>1553</v>
      </c>
    </row>
    <row r="1469" spans="1:1" x14ac:dyDescent="0.45">
      <c r="A1469" t="s">
        <v>1554</v>
      </c>
    </row>
    <row r="1470" spans="1:1" x14ac:dyDescent="0.45">
      <c r="A1470" t="s">
        <v>1555</v>
      </c>
    </row>
    <row r="1471" spans="1:1" x14ac:dyDescent="0.45">
      <c r="A1471" t="s">
        <v>1556</v>
      </c>
    </row>
    <row r="1472" spans="1:1" x14ac:dyDescent="0.45">
      <c r="A1472" t="s">
        <v>1557</v>
      </c>
    </row>
    <row r="1473" spans="1:1" x14ac:dyDescent="0.45">
      <c r="A1473" t="s">
        <v>1558</v>
      </c>
    </row>
    <row r="1474" spans="1:1" x14ac:dyDescent="0.45">
      <c r="A1474" t="s">
        <v>1559</v>
      </c>
    </row>
    <row r="1475" spans="1:1" x14ac:dyDescent="0.45">
      <c r="A1475" t="s">
        <v>1560</v>
      </c>
    </row>
    <row r="1476" spans="1:1" x14ac:dyDescent="0.45">
      <c r="A1476" t="s">
        <v>1561</v>
      </c>
    </row>
    <row r="1477" spans="1:1" x14ac:dyDescent="0.45">
      <c r="A1477" t="s">
        <v>1562</v>
      </c>
    </row>
    <row r="1478" spans="1:1" x14ac:dyDescent="0.45">
      <c r="A1478" t="s">
        <v>1563</v>
      </c>
    </row>
    <row r="1479" spans="1:1" x14ac:dyDescent="0.45">
      <c r="A1479" t="s">
        <v>1564</v>
      </c>
    </row>
    <row r="1480" spans="1:1" x14ac:dyDescent="0.45">
      <c r="A1480" t="s">
        <v>1565</v>
      </c>
    </row>
    <row r="1481" spans="1:1" x14ac:dyDescent="0.45">
      <c r="A1481" t="s">
        <v>1566</v>
      </c>
    </row>
    <row r="1482" spans="1:1" x14ac:dyDescent="0.45">
      <c r="A1482" t="s">
        <v>1567</v>
      </c>
    </row>
    <row r="1483" spans="1:1" x14ac:dyDescent="0.45">
      <c r="A1483" t="s">
        <v>1568</v>
      </c>
    </row>
    <row r="1484" spans="1:1" x14ac:dyDescent="0.45">
      <c r="A1484" t="s">
        <v>1569</v>
      </c>
    </row>
    <row r="1485" spans="1:1" x14ac:dyDescent="0.45">
      <c r="A1485" t="s">
        <v>1570</v>
      </c>
    </row>
    <row r="1486" spans="1:1" x14ac:dyDescent="0.45">
      <c r="A1486" t="s">
        <v>1571</v>
      </c>
    </row>
    <row r="1487" spans="1:1" x14ac:dyDescent="0.45">
      <c r="A1487" t="s">
        <v>1572</v>
      </c>
    </row>
    <row r="1488" spans="1:1" x14ac:dyDescent="0.45">
      <c r="A1488" t="s">
        <v>1573</v>
      </c>
    </row>
    <row r="1489" spans="1:1" x14ac:dyDescent="0.45">
      <c r="A1489" t="s">
        <v>1574</v>
      </c>
    </row>
    <row r="1490" spans="1:1" x14ac:dyDescent="0.45">
      <c r="A1490" t="s">
        <v>1575</v>
      </c>
    </row>
    <row r="1491" spans="1:1" x14ac:dyDescent="0.45">
      <c r="A1491" t="s">
        <v>1576</v>
      </c>
    </row>
    <row r="1492" spans="1:1" x14ac:dyDescent="0.45">
      <c r="A1492" t="s">
        <v>1577</v>
      </c>
    </row>
    <row r="1493" spans="1:1" x14ac:dyDescent="0.45">
      <c r="A1493" t="s">
        <v>1578</v>
      </c>
    </row>
    <row r="1494" spans="1:1" x14ac:dyDescent="0.45">
      <c r="A1494" t="s">
        <v>1579</v>
      </c>
    </row>
    <row r="1495" spans="1:1" x14ac:dyDescent="0.45">
      <c r="A1495" t="s">
        <v>1580</v>
      </c>
    </row>
    <row r="1496" spans="1:1" x14ac:dyDescent="0.45">
      <c r="A1496" t="s">
        <v>1581</v>
      </c>
    </row>
    <row r="1497" spans="1:1" x14ac:dyDescent="0.45">
      <c r="A1497" t="s">
        <v>1582</v>
      </c>
    </row>
    <row r="1498" spans="1:1" x14ac:dyDescent="0.45">
      <c r="A1498" t="s">
        <v>1583</v>
      </c>
    </row>
    <row r="1499" spans="1:1" x14ac:dyDescent="0.45">
      <c r="A1499" t="s">
        <v>1584</v>
      </c>
    </row>
    <row r="1500" spans="1:1" x14ac:dyDescent="0.45">
      <c r="A1500" t="s">
        <v>1585</v>
      </c>
    </row>
    <row r="1501" spans="1:1" x14ac:dyDescent="0.45">
      <c r="A1501" t="s">
        <v>1586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Dados_Principais</vt:lpstr>
      <vt:lpstr>Barras_Coluna</vt:lpstr>
      <vt:lpstr>Pizza_Rosca</vt:lpstr>
      <vt:lpstr>Linha_Area</vt:lpstr>
      <vt:lpstr>Dispersao_Bolhas</vt:lpstr>
      <vt:lpstr>Histograma</vt:lpstr>
      <vt:lpstr>BoxPlot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Agostinho Zeinadine Carlos</cp:lastModifiedBy>
  <cp:revision>0</cp:revision>
  <dcterms:created xsi:type="dcterms:W3CDTF">2026-07-29T16:41:05Z</dcterms:created>
  <dcterms:modified xsi:type="dcterms:W3CDTF">2026-07-29T17:01:06Z</dcterms:modified>
  <dc:language>en-US</dc:language>
</cp:coreProperties>
</file>