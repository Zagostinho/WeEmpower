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ocuments\Bussines\WeEmpower\2026\01.Aulas de Microsoft Excel\Aulas de Microsoft Excel\Aula2\"/>
    </mc:Choice>
  </mc:AlternateContent>
  <xr:revisionPtr revIDLastSave="0" documentId="8_{207B7B3D-A6AE-42FC-9AE3-B328BEA4D81D}" xr6:coauthVersionLast="47" xr6:coauthVersionMax="47" xr10:uidLastSave="{00000000-0000-0000-0000-000000000000}"/>
  <bookViews>
    <workbookView xWindow="-108" yWindow="-13068" windowWidth="23256" windowHeight="12456" xr2:uid="{DEB6AA4D-A3AC-4EC0-B0DB-49A2CA3A39DA}"/>
  </bookViews>
  <sheets>
    <sheet name="Dados Brutos" sheetId="1" r:id="rId1"/>
    <sheet name="Data Validation" sheetId="2" r:id="rId2"/>
  </sheets>
  <externalReferences>
    <externalReference r:id="rId3"/>
  </externalReferences>
  <definedNames>
    <definedName name="ListaDistritos">'[1]Listas de Referencia'!$B$3:$B$26</definedName>
    <definedName name="ListaDoencas">'[1]Listas de Referencia'!$C$3:$C$12</definedName>
    <definedName name="ListaProvincias">'[1]Listas de Referencia'!$A$3:$A$13</definedName>
    <definedName name="ListaSexo">'[1]Listas de Referencia'!$D$3:$D$4</definedName>
    <definedName name="ListaTipoUnidade">'[1]Listas de Referencia'!$F$3:$F$9</definedName>
    <definedName name="ListaVacinacao">'[1]Listas de Referencia'!$E$3:$E$6</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3" i="1"/>
  <c r="J3" i="1" a="1"/>
  <c r="J3" i="1" s="1"/>
  <c r="D3" i="1" a="1"/>
  <c r="D3" i="1" s="1"/>
  <c r="E3" i="1"/>
  <c r="G3" i="1" s="1"/>
  <c r="E4" i="1"/>
  <c r="G4" i="1" s="1"/>
  <c r="E5" i="1"/>
  <c r="G5" i="1" s="1"/>
  <c r="E6" i="1"/>
  <c r="G6" i="1" s="1"/>
  <c r="E7" i="1"/>
  <c r="G7" i="1" s="1"/>
  <c r="E8" i="1"/>
  <c r="G8" i="1" s="1"/>
  <c r="E9" i="1"/>
  <c r="G9" i="1" s="1"/>
  <c r="E10" i="1"/>
  <c r="G10" i="1" s="1"/>
  <c r="E11" i="1"/>
  <c r="G11" i="1" s="1"/>
  <c r="E12" i="1"/>
  <c r="G12" i="1" s="1"/>
  <c r="E13" i="1"/>
  <c r="G13" i="1" s="1"/>
  <c r="E14" i="1"/>
  <c r="G14" i="1" s="1"/>
  <c r="E15" i="1"/>
  <c r="G15" i="1" s="1"/>
  <c r="E16" i="1"/>
  <c r="G16" i="1" s="1"/>
  <c r="E17" i="1"/>
  <c r="G17" i="1" s="1"/>
  <c r="E18" i="1"/>
  <c r="G18" i="1" s="1"/>
  <c r="E19" i="1"/>
  <c r="G19" i="1" s="1"/>
  <c r="E20" i="1"/>
  <c r="G20" i="1" s="1"/>
  <c r="E21" i="1"/>
  <c r="G21" i="1" s="1"/>
  <c r="E22" i="1"/>
  <c r="G22" i="1" s="1"/>
  <c r="E23" i="1"/>
  <c r="G23" i="1" s="1"/>
  <c r="E24" i="1"/>
  <c r="G24" i="1" s="1"/>
  <c r="E25" i="1"/>
  <c r="G25" i="1" s="1"/>
  <c r="E26" i="1"/>
  <c r="G26" i="1" s="1"/>
  <c r="E27" i="1"/>
  <c r="G27" i="1" s="1"/>
  <c r="E28" i="1"/>
  <c r="G28" i="1" s="1"/>
  <c r="E29" i="1"/>
  <c r="G29" i="1" s="1"/>
  <c r="E30" i="1"/>
  <c r="G30" i="1" s="1"/>
  <c r="E31" i="1"/>
  <c r="G31" i="1" s="1"/>
  <c r="E32" i="1"/>
  <c r="G32" i="1" s="1"/>
  <c r="E33" i="1"/>
  <c r="G33" i="1" s="1"/>
  <c r="E34" i="1"/>
  <c r="G34" i="1" s="1"/>
  <c r="E35" i="1"/>
  <c r="G35" i="1" s="1"/>
  <c r="E36" i="1"/>
  <c r="G36" i="1" s="1"/>
  <c r="E37" i="1"/>
  <c r="G37" i="1" s="1"/>
  <c r="E38" i="1"/>
  <c r="G38" i="1" s="1"/>
  <c r="E39" i="1"/>
  <c r="G39" i="1" s="1"/>
  <c r="E40" i="1"/>
  <c r="G40" i="1" s="1"/>
  <c r="E41" i="1"/>
  <c r="G41" i="1" s="1"/>
  <c r="E42" i="1"/>
  <c r="G42" i="1" s="1"/>
  <c r="E43" i="1"/>
  <c r="G43" i="1" s="1"/>
  <c r="E44" i="1"/>
  <c r="G44" i="1" s="1"/>
  <c r="E45" i="1"/>
  <c r="G45" i="1" s="1"/>
  <c r="E46" i="1"/>
  <c r="G46" i="1" s="1"/>
  <c r="E47" i="1"/>
  <c r="G47" i="1" s="1"/>
  <c r="E48" i="1"/>
  <c r="G48" i="1" s="1"/>
  <c r="E49" i="1"/>
  <c r="G49" i="1" s="1"/>
  <c r="E50" i="1"/>
  <c r="G50" i="1" s="1"/>
  <c r="L3" i="1" l="1" a="1"/>
  <c r="L3" i="1" s="1"/>
  <c r="H3" i="1" a="1"/>
  <c r="H3" i="1" s="1"/>
  <c r="F3" i="1" a="1"/>
  <c r="F3"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0"/>
        </ext>
      </extLst>
    </bk>
    <bk>
      <extLst>
        <ext uri="{3e2802c4-a4d2-4d8b-9148-e3be6c30e623}">
          <xlrd:rvb i="8"/>
        </ext>
      </extLst>
    </bk>
    <bk>
      <extLst>
        <ext uri="{3e2802c4-a4d2-4d8b-9148-e3be6c30e623}">
          <xlrd:rvb i="18"/>
        </ext>
      </extLst>
    </bk>
    <bk>
      <extLst>
        <ext uri="{3e2802c4-a4d2-4d8b-9148-e3be6c30e623}">
          <xlrd:rvb i="29"/>
        </ext>
      </extLst>
    </bk>
    <bk>
      <extLst>
        <ext uri="{3e2802c4-a4d2-4d8b-9148-e3be6c30e623}">
          <xlrd:rvb i="42"/>
        </ext>
      </extLst>
    </bk>
    <bk>
      <extLst>
        <ext uri="{3e2802c4-a4d2-4d8b-9148-e3be6c30e623}">
          <xlrd:rvb i="52"/>
        </ext>
      </extLst>
    </bk>
    <bk>
      <extLst>
        <ext uri="{3e2802c4-a4d2-4d8b-9148-e3be6c30e623}">
          <xlrd:rvb i="62"/>
        </ext>
      </extLst>
    </bk>
    <bk>
      <extLst>
        <ext uri="{3e2802c4-a4d2-4d8b-9148-e3be6c30e623}">
          <xlrd:rvb i="73"/>
        </ext>
      </extLst>
    </bk>
    <bk>
      <extLst>
        <ext uri="{3e2802c4-a4d2-4d8b-9148-e3be6c30e623}">
          <xlrd:rvb i="84"/>
        </ext>
      </extLst>
    </bk>
    <bk>
      <extLst>
        <ext uri="{3e2802c4-a4d2-4d8b-9148-e3be6c30e623}">
          <xlrd:rvb i="91"/>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sharedStrings.xml><?xml version="1.0" encoding="utf-8"?>
<sst xmlns="http://schemas.openxmlformats.org/spreadsheetml/2006/main" count="591" uniqueCount="377">
  <si>
    <t>ID_Registo</t>
  </si>
  <si>
    <t>Unidade_Sanitaria</t>
  </si>
  <si>
    <t>Provincia</t>
  </si>
  <si>
    <t>Distrito</t>
  </si>
  <si>
    <t>Data_Notificacao</t>
  </si>
  <si>
    <t>Doenca_Notificada</t>
  </si>
  <si>
    <t>Nome_Paciente</t>
  </si>
  <si>
    <t>Idade</t>
  </si>
  <si>
    <t>Sexo</t>
  </si>
  <si>
    <t>Peso_kg</t>
  </si>
  <si>
    <t>Temperatura_C</t>
  </si>
  <si>
    <t>Estado_Vacinacao</t>
  </si>
  <si>
    <t>Telefone</t>
  </si>
  <si>
    <t>REG-0001</t>
  </si>
  <si>
    <t>Centro de Saúde de Lichinga</t>
  </si>
  <si>
    <t xml:space="preserve"> Niassa</t>
  </si>
  <si>
    <t>Lichinga</t>
  </si>
  <si>
    <t>2025-05-14</t>
  </si>
  <si>
    <t xml:space="preserve">Cólera </t>
  </si>
  <si>
    <t>Aida Nhaca</t>
  </si>
  <si>
    <t>f</t>
  </si>
  <si>
    <t>Incompleto</t>
  </si>
  <si>
    <t>872458591</t>
  </si>
  <si>
    <t>REG-0002</t>
  </si>
  <si>
    <t>Centro de Saúde de Nampula</t>
  </si>
  <si>
    <t>NAMPULA</t>
  </si>
  <si>
    <t>Nampula</t>
  </si>
  <si>
    <t>15-Fev-25</t>
  </si>
  <si>
    <t>DIARREIA AGUDA</t>
  </si>
  <si>
    <t>Fatima Nhaca</t>
  </si>
  <si>
    <t>Masculino</t>
  </si>
  <si>
    <t>NAO VACINADO</t>
  </si>
  <si>
    <t>+258 838038374</t>
  </si>
  <si>
    <t>REG-0003</t>
  </si>
  <si>
    <t>Centro de Saúde de Mocuba</t>
  </si>
  <si>
    <t>Mocuba</t>
  </si>
  <si>
    <t>13.01.2025</t>
  </si>
  <si>
    <t>TB</t>
  </si>
  <si>
    <t xml:space="preserve">  Momad Tembe  </t>
  </si>
  <si>
    <t>Fem</t>
  </si>
  <si>
    <t>n/a</t>
  </si>
  <si>
    <t>842714803</t>
  </si>
  <si>
    <t>REG-0004</t>
  </si>
  <si>
    <t>Hospital Distrital de Tete</t>
  </si>
  <si>
    <t xml:space="preserve">Tete </t>
  </si>
  <si>
    <t>Tete</t>
  </si>
  <si>
    <t>03/04/2025</t>
  </si>
  <si>
    <t>hiv</t>
  </si>
  <si>
    <t>Bento Langa</t>
  </si>
  <si>
    <t>MASC</t>
  </si>
  <si>
    <t xml:space="preserve">Completo </t>
  </si>
  <si>
    <t>873094235</t>
  </si>
  <si>
    <t>REG-0005</t>
  </si>
  <si>
    <t>Hospital Distrital de Gondola</t>
  </si>
  <si>
    <t>MANICA</t>
  </si>
  <si>
    <t>Gondola</t>
  </si>
  <si>
    <t>2025-02-28</t>
  </si>
  <si>
    <t>Sarampo</t>
  </si>
  <si>
    <t>Sara Nhaca</t>
  </si>
  <si>
    <t>F</t>
  </si>
  <si>
    <t>INCOMPLETO</t>
  </si>
  <si>
    <t>842338687</t>
  </si>
  <si>
    <t>REG-0006</t>
  </si>
  <si>
    <t>Hospital Rural de Beira</t>
  </si>
  <si>
    <t>sofala</t>
  </si>
  <si>
    <t>Beira</t>
  </si>
  <si>
    <t>21-Mai-25</t>
  </si>
  <si>
    <t>febre tifoide</t>
  </si>
  <si>
    <t>Aida Chissano</t>
  </si>
  <si>
    <t>m</t>
  </si>
  <si>
    <t>84 219 7935</t>
  </si>
  <si>
    <t>REG-0007</t>
  </si>
  <si>
    <t>Posto de Saúde de Inhambane</t>
  </si>
  <si>
    <t xml:space="preserve">Inhambane </t>
  </si>
  <si>
    <t>Inhambane</t>
  </si>
  <si>
    <t>11.06.2025</t>
  </si>
  <si>
    <t xml:space="preserve">Desnutrição aguda </t>
  </si>
  <si>
    <t>Momad Chissano</t>
  </si>
  <si>
    <t>Feminino</t>
  </si>
  <si>
    <t>N/A</t>
  </si>
  <si>
    <t>874684531</t>
  </si>
  <si>
    <t>REG-0008</t>
  </si>
  <si>
    <t>Posto de Saúde de Xai-Xai</t>
  </si>
  <si>
    <t>GAZA</t>
  </si>
  <si>
    <t>Xai-Xai</t>
  </si>
  <si>
    <t>HAS</t>
  </si>
  <si>
    <t>Carlos Massingue</t>
  </si>
  <si>
    <t>Mas</t>
  </si>
  <si>
    <t>COMPLETO</t>
  </si>
  <si>
    <t>876279418</t>
  </si>
  <si>
    <t>REG-0009</t>
  </si>
  <si>
    <t>Hospital Rural de Boane</t>
  </si>
  <si>
    <t xml:space="preserve">Maputo Provincia </t>
  </si>
  <si>
    <t>Boane</t>
  </si>
  <si>
    <t>2025-06-19</t>
  </si>
  <si>
    <t>diabetes</t>
  </si>
  <si>
    <t>Celia Muianga</t>
  </si>
  <si>
    <t>12 anos</t>
  </si>
  <si>
    <t>FEM</t>
  </si>
  <si>
    <t xml:space="preserve">incompleto </t>
  </si>
  <si>
    <t>875408072</t>
  </si>
  <si>
    <t>REG-0010</t>
  </si>
  <si>
    <t>Hospital Rural de KaMaxaquene</t>
  </si>
  <si>
    <t>MAPUTO CIDADE</t>
  </si>
  <si>
    <t>KaMaxaquene</t>
  </si>
  <si>
    <t>21-Fev-25</t>
  </si>
  <si>
    <t xml:space="preserve">malária </t>
  </si>
  <si>
    <t>Bento Nhaca</t>
  </si>
  <si>
    <t>M</t>
  </si>
  <si>
    <t>(258) 82-2839607</t>
  </si>
  <si>
    <t>REG-0012</t>
  </si>
  <si>
    <t>niassa</t>
  </si>
  <si>
    <t>24/06/2025</t>
  </si>
  <si>
    <t>diarreia aguda</t>
  </si>
  <si>
    <t>Gil Wate</t>
  </si>
  <si>
    <t>completo</t>
  </si>
  <si>
    <t>861054447</t>
  </si>
  <si>
    <t>REG-0013</t>
  </si>
  <si>
    <t>Posto de Saúde de Angoche</t>
  </si>
  <si>
    <t>Angoche</t>
  </si>
  <si>
    <t>2025-03-25</t>
  </si>
  <si>
    <t>tuberculose</t>
  </si>
  <si>
    <t>Marta Machel</t>
  </si>
  <si>
    <t>833564217</t>
  </si>
  <si>
    <t>REG-0014</t>
  </si>
  <si>
    <t>Centro de Saúde de Quelimane</t>
  </si>
  <si>
    <t>ZAMBÉZIA</t>
  </si>
  <si>
    <t>Quelimane</t>
  </si>
  <si>
    <t>8-Jan-25</t>
  </si>
  <si>
    <t>hiv/sida</t>
  </si>
  <si>
    <t>Tomas Massingue</t>
  </si>
  <si>
    <t>845017343</t>
  </si>
  <si>
    <t>REG-0015</t>
  </si>
  <si>
    <t>Centro de Saúde de Tete</t>
  </si>
  <si>
    <t>tete</t>
  </si>
  <si>
    <t>17.03.2025</t>
  </si>
  <si>
    <t xml:space="preserve">sarampo </t>
  </si>
  <si>
    <t>Vasco Machel</t>
  </si>
  <si>
    <t>863770370</t>
  </si>
  <si>
    <t>REG-0016</t>
  </si>
  <si>
    <t>Posto de Saúde de Gondola</t>
  </si>
  <si>
    <t>Manica</t>
  </si>
  <si>
    <t xml:space="preserve">Febre tifoide </t>
  </si>
  <si>
    <t>Gil Nhaca</t>
  </si>
  <si>
    <t>39,5</t>
  </si>
  <si>
    <t>848350099</t>
  </si>
  <si>
    <t>REG-0017</t>
  </si>
  <si>
    <t>Posto de Saúde de Beira</t>
  </si>
  <si>
    <t>SOFALA</t>
  </si>
  <si>
    <t>2025-01-03</t>
  </si>
  <si>
    <t>DESNUTRICAO AGUDA</t>
  </si>
  <si>
    <t>Sergio Machel</t>
  </si>
  <si>
    <t>874694634</t>
  </si>
  <si>
    <t>REG-0018</t>
  </si>
  <si>
    <t>inhambane</t>
  </si>
  <si>
    <t>5-Mai-25</t>
  </si>
  <si>
    <t>hipertensao</t>
  </si>
  <si>
    <t>Fatima Cossa</t>
  </si>
  <si>
    <t>864594297</t>
  </si>
  <si>
    <t>REG-0019</t>
  </si>
  <si>
    <t>Posto de Saúde de Chibuto</t>
  </si>
  <si>
    <t>Chibuto</t>
  </si>
  <si>
    <t>15.04.2025</t>
  </si>
  <si>
    <t xml:space="preserve">Diabetes </t>
  </si>
  <si>
    <t>Vasco Tembe</t>
  </si>
  <si>
    <t>848106470</t>
  </si>
  <si>
    <t>REG-0020</t>
  </si>
  <si>
    <t>Centro de Saúde de Marracuene</t>
  </si>
  <si>
    <t>maputo provincia</t>
  </si>
  <si>
    <t>Marracuene</t>
  </si>
  <si>
    <t>07/02/2025</t>
  </si>
  <si>
    <t>malaria</t>
  </si>
  <si>
    <t>João Cossa</t>
  </si>
  <si>
    <t>825171761</t>
  </si>
  <si>
    <t>REG-0021</t>
  </si>
  <si>
    <t>Hospital Rural de KaMavota</t>
  </si>
  <si>
    <t xml:space="preserve">Maputo Cidade </t>
  </si>
  <si>
    <t>KaMavota</t>
  </si>
  <si>
    <t>2025-05-04</t>
  </si>
  <si>
    <t>colera</t>
  </si>
  <si>
    <t>Isabel Tembe</t>
  </si>
  <si>
    <t>828434500</t>
  </si>
  <si>
    <t>REG-0022</t>
  </si>
  <si>
    <t>Centro de Saúde de Pemba</t>
  </si>
  <si>
    <t>CABO DELGADO</t>
  </si>
  <si>
    <t>Pemba</t>
  </si>
  <si>
    <t>13-Fev-25</t>
  </si>
  <si>
    <t>861983738</t>
  </si>
  <si>
    <t>REG-0023</t>
  </si>
  <si>
    <t>Hospital Rural de Lichinga</t>
  </si>
  <si>
    <t>NIASSA</t>
  </si>
  <si>
    <t>07.02.2025</t>
  </si>
  <si>
    <t xml:space="preserve">Tuberculose </t>
  </si>
  <si>
    <t xml:space="preserve">Não aplicável </t>
  </si>
  <si>
    <t>879164991</t>
  </si>
  <si>
    <t>REG-0024</t>
  </si>
  <si>
    <t xml:space="preserve">nampula </t>
  </si>
  <si>
    <t>28/05/2025</t>
  </si>
  <si>
    <t>Carlos Langa</t>
  </si>
  <si>
    <t>828999183</t>
  </si>
  <si>
    <t>REG-0026</t>
  </si>
  <si>
    <t>TETE</t>
  </si>
  <si>
    <t>22-Fev-25</t>
  </si>
  <si>
    <t>FEBRE TIFOIDE</t>
  </si>
  <si>
    <t>Tomas Machel</t>
  </si>
  <si>
    <t>845374922</t>
  </si>
  <si>
    <t>REG-0027</t>
  </si>
  <si>
    <t xml:space="preserve">manica </t>
  </si>
  <si>
    <t>15.01.2025</t>
  </si>
  <si>
    <t>desnutricao aguda</t>
  </si>
  <si>
    <t>Aida Tembe</t>
  </si>
  <si>
    <t>842217071</t>
  </si>
  <si>
    <t>REG-0028</t>
  </si>
  <si>
    <t>Centro de Saúde de Beira</t>
  </si>
  <si>
    <t xml:space="preserve">Sofala </t>
  </si>
  <si>
    <t>10/03/2025</t>
  </si>
  <si>
    <t xml:space="preserve">Hipertensão arterial </t>
  </si>
  <si>
    <t>825098412</t>
  </si>
  <si>
    <t>REG-0029</t>
  </si>
  <si>
    <t>Hospital Rural de Inhambane</t>
  </si>
  <si>
    <t>INHAMBANE</t>
  </si>
  <si>
    <t>2025-02-09</t>
  </si>
  <si>
    <t>DM</t>
  </si>
  <si>
    <t>842737893</t>
  </si>
  <si>
    <t>REG-0030</t>
  </si>
  <si>
    <t>Centro de Saúde de Xai-Xai</t>
  </si>
  <si>
    <t xml:space="preserve">gaza </t>
  </si>
  <si>
    <t>21-Jun-25</t>
  </si>
  <si>
    <t>Gil Muianga</t>
  </si>
  <si>
    <t>844415796</t>
  </si>
  <si>
    <t>REG-0031</t>
  </si>
  <si>
    <t>Maputo prov.</t>
  </si>
  <si>
    <t>25.03.2025</t>
  </si>
  <si>
    <t>Aida Cossa</t>
  </si>
  <si>
    <t>REG-0032</t>
  </si>
  <si>
    <t>Hospital Distrital de KaMpfumo</t>
  </si>
  <si>
    <t>maputo cidade</t>
  </si>
  <si>
    <t>KaMpfumo</t>
  </si>
  <si>
    <t>05/06/2025</t>
  </si>
  <si>
    <t>822262382</t>
  </si>
  <si>
    <t>REG-0033</t>
  </si>
  <si>
    <t>Hospital Distrital de Pemba</t>
  </si>
  <si>
    <t xml:space="preserve">Cabo Delgado </t>
  </si>
  <si>
    <t>2025-03-07</t>
  </si>
  <si>
    <t>Sara Sitoi</t>
  </si>
  <si>
    <t>841669324</t>
  </si>
  <si>
    <t>REG-0034</t>
  </si>
  <si>
    <t>14-Fev-25</t>
  </si>
  <si>
    <t>Bento Sitoi</t>
  </si>
  <si>
    <t>833726327</t>
  </si>
  <si>
    <t>REG-0035</t>
  </si>
  <si>
    <t>Posto de Saúde de Nampula</t>
  </si>
  <si>
    <t>28.01.2025</t>
  </si>
  <si>
    <t>Helena Tembe</t>
  </si>
  <si>
    <t>827417985</t>
  </si>
  <si>
    <t>REG-0036</t>
  </si>
  <si>
    <t>Posto de Saúde de Mocuba</t>
  </si>
  <si>
    <t>zambezia</t>
  </si>
  <si>
    <t>22/01/2025</t>
  </si>
  <si>
    <t>Lucia Chissano</t>
  </si>
  <si>
    <t>834740036</t>
  </si>
  <si>
    <t>REG-0037</t>
  </si>
  <si>
    <t>Hospital Rural de Tete</t>
  </si>
  <si>
    <t>2025-06-27</t>
  </si>
  <si>
    <t>Helena Wate</t>
  </si>
  <si>
    <t>REG-0038</t>
  </si>
  <si>
    <t>Centro de Saúde de Gondola</t>
  </si>
  <si>
    <t>14-Mai-25</t>
  </si>
  <si>
    <t>João Wate</t>
  </si>
  <si>
    <t>822818692</t>
  </si>
  <si>
    <t>REG-0039</t>
  </si>
  <si>
    <t>Hospital Distrital de Dondo</t>
  </si>
  <si>
    <t>Dondo</t>
  </si>
  <si>
    <t>23.01.2025</t>
  </si>
  <si>
    <t>Armando Langa</t>
  </si>
  <si>
    <t>835273534</t>
  </si>
  <si>
    <t>REG-0040</t>
  </si>
  <si>
    <t>Centro de Saúde de Maxixe</t>
  </si>
  <si>
    <t>Maxixe</t>
  </si>
  <si>
    <t>28/06/2025</t>
  </si>
  <si>
    <t>Marta Sitoi</t>
  </si>
  <si>
    <t>846266630</t>
  </si>
  <si>
    <t>REG-0041</t>
  </si>
  <si>
    <t>Hospital Distrital de Xai-Xai</t>
  </si>
  <si>
    <t>2025-02-14</t>
  </si>
  <si>
    <t>Marta Wate</t>
  </si>
  <si>
    <t>873135534</t>
  </si>
  <si>
    <t>REG-0042</t>
  </si>
  <si>
    <t>Hospital Rural de Marracuene</t>
  </si>
  <si>
    <t>MAPUTO PROVINCIA</t>
  </si>
  <si>
    <t>7-Mar-25</t>
  </si>
  <si>
    <t>Momad Langa</t>
  </si>
  <si>
    <t>826098175</t>
  </si>
  <si>
    <t>REG-0043</t>
  </si>
  <si>
    <t xml:space="preserve">Hospital Distrital de KaMaxaquene   </t>
  </si>
  <si>
    <t>Maputo-Cidade</t>
  </si>
  <si>
    <t>Celia Chissano</t>
  </si>
  <si>
    <t>832422633</t>
  </si>
  <si>
    <t>REG-0044</t>
  </si>
  <si>
    <t>Centro de Saúde de Montepuez</t>
  </si>
  <si>
    <t>cabo delgado</t>
  </si>
  <si>
    <t>Montepuez</t>
  </si>
  <si>
    <t>20/04/2025</t>
  </si>
  <si>
    <t>Sergio Wate</t>
  </si>
  <si>
    <t>825107776</t>
  </si>
  <si>
    <t>REG-0045</t>
  </si>
  <si>
    <t>2025-02-21</t>
  </si>
  <si>
    <t>12kg</t>
  </si>
  <si>
    <t>865093379</t>
  </si>
  <si>
    <t>REG-0046</t>
  </si>
  <si>
    <t>8-Mai-25</t>
  </si>
  <si>
    <t>Armando Nhaca</t>
  </si>
  <si>
    <t>861842524</t>
  </si>
  <si>
    <t>REG-0047</t>
  </si>
  <si>
    <t>Hospital Rural de Quelimane</t>
  </si>
  <si>
    <t>27.04.2025</t>
  </si>
  <si>
    <t>Isabel Chissano</t>
  </si>
  <si>
    <t>869468772</t>
  </si>
  <si>
    <t>REG-0048</t>
  </si>
  <si>
    <t>Posto de Saúde de Moatize</t>
  </si>
  <si>
    <t>Moatize</t>
  </si>
  <si>
    <t>21/04/2025</t>
  </si>
  <si>
    <t>Vasco Chissano</t>
  </si>
  <si>
    <t xml:space="preserve">849745959  </t>
  </si>
  <si>
    <t>REG-0049</t>
  </si>
  <si>
    <t>Hospital Distrital de Chimoio</t>
  </si>
  <si>
    <t>Chimoio</t>
  </si>
  <si>
    <t>2025-02-05</t>
  </si>
  <si>
    <t>Celia Machel</t>
  </si>
  <si>
    <t>872351868</t>
  </si>
  <si>
    <t>REG-0050</t>
  </si>
  <si>
    <t>7-Jan-25</t>
  </si>
  <si>
    <t>Isabel Nhaca</t>
  </si>
  <si>
    <t>867975534</t>
  </si>
  <si>
    <t>Notificação de casos em unidades sanitárias (dados sintéticos para fins didáticos)</t>
  </si>
  <si>
    <t>Province</t>
  </si>
  <si>
    <t>Cabo Delgado</t>
  </si>
  <si>
    <t>Niassa</t>
  </si>
  <si>
    <t>Zambézia</t>
  </si>
  <si>
    <t>Sofala</t>
  </si>
  <si>
    <t>Gaza</t>
  </si>
  <si>
    <t>Maputo Cidade</t>
  </si>
  <si>
    <t>Maputo Província</t>
  </si>
  <si>
    <t xml:space="preserve">                               Niassa</t>
  </si>
  <si>
    <t xml:space="preserve"> =TRIM()</t>
  </si>
  <si>
    <t xml:space="preserve">   =PROPER()</t>
  </si>
  <si>
    <t>Province_Proper</t>
  </si>
  <si>
    <t>Provincia_Main</t>
  </si>
  <si>
    <t>Maputo Provincia</t>
  </si>
  <si>
    <t/>
  </si>
  <si>
    <t>Maputo Prov.</t>
  </si>
  <si>
    <t>Zambezia</t>
  </si>
  <si>
    <t>Province_Final</t>
  </si>
  <si>
    <t>Province final</t>
  </si>
  <si>
    <t xml:space="preserve">   =unique()
2nd_Unique</t>
  </si>
  <si>
    <t xml:space="preserve">   =unique()
1st_Unique</t>
  </si>
  <si>
    <t xml:space="preserve">   =unique()
3rd_Unique</t>
  </si>
  <si>
    <t xml:space="preserve">   =unique()
4th_Unique</t>
  </si>
  <si>
    <t xml:space="preserve"> Trim&amp;Proper()</t>
  </si>
  <si>
    <t>Regiões</t>
  </si>
  <si>
    <t>Região</t>
  </si>
  <si>
    <t>Norte</t>
  </si>
  <si>
    <t>Centro</t>
  </si>
  <si>
    <t>Sul</t>
  </si>
  <si>
    <t>List</t>
  </si>
  <si>
    <t>Any Value</t>
  </si>
  <si>
    <t>Decimal</t>
  </si>
  <si>
    <t>Whole Number</t>
  </si>
  <si>
    <t>Date</t>
  </si>
  <si>
    <t>Time</t>
  </si>
  <si>
    <t>Text Length</t>
  </si>
  <si>
    <t>Excel</t>
  </si>
  <si>
    <t>PowerPoint</t>
  </si>
  <si>
    <t>Word</t>
  </si>
  <si>
    <t>dominio</t>
  </si>
  <si>
    <t>Website</t>
  </si>
  <si>
    <t>Monografia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</si>
</sst>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sz val="11"/>
      <name val="Calibri"/>
      <family val="2"/>
    </font>
    <font>
      <sz val="10"/>
      <name val="Calibri"/>
      <family val="2"/>
    </font>
    <font>
      <i/>
      <sz val="9"/>
      <name val="Calibri"/>
      <family val="2"/>
    </font>
    <font>
      <sz val="12"/>
      <name val="Calibri"/>
      <family val="2"/>
    </font>
    <font>
      <b/>
      <sz val="10"/>
      <color theme="0"/>
      <name val="Calibri"/>
      <family val="2"/>
    </font>
    <font>
      <sz val="11"/>
      <color rgb="FFC00000"/>
      <name val="Calibri"/>
      <family val="2"/>
    </font>
    <font>
      <b/>
      <sz val="11"/>
      <name val="Calibri"/>
      <family val="2"/>
    </font>
  </fonts>
  <fills count="6">
    <fill>
      <patternFill patternType="none"/>
    </fill>
    <fill>
      <patternFill patternType="gray125"/>
    </fill>
    <fill>
      <patternFill patternType="solid">
        <fgColor theme="8" tint="0.39997558519241921"/>
        <bgColor indexed="64"/>
      </patternFill>
    </fill>
    <fill>
      <patternFill patternType="solid">
        <fgColor theme="4" tint="-0.249977111117893"/>
        <bgColor indexed="64"/>
      </patternFill>
    </fill>
    <fill>
      <patternFill patternType="solid">
        <fgColor theme="2"/>
        <bgColor indexed="64"/>
      </patternFill>
    </fill>
    <fill>
      <patternFill patternType="solid">
        <fgColor theme="4" tint="0.79998168889431442"/>
        <bgColor indexed="64"/>
      </patternFill>
    </fill>
  </fills>
  <borders count="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applyAlignment="1">
      <alignment wrapText="1"/>
    </xf>
    <xf numFmtId="0" fontId="4" fillId="2" borderId="0" xfId="0" applyFont="1" applyFill="1" applyAlignment="1">
      <alignment horizontal="center" vertical="center"/>
    </xf>
    <xf numFmtId="0" fontId="5" fillId="3" borderId="1" xfId="0" applyFont="1" applyFill="1" applyBorder="1" applyAlignment="1">
      <alignment horizontal="center" vertical="center" wrapText="1"/>
    </xf>
    <xf numFmtId="0" fontId="2" fillId="0" borderId="1" xfId="0" applyFont="1" applyBorder="1" applyAlignment="1">
      <alignment vertical="center"/>
    </xf>
    <xf numFmtId="0" fontId="2" fillId="4" borderId="1" xfId="0" applyFont="1" applyFill="1" applyBorder="1" applyAlignment="1">
      <alignment vertical="center"/>
    </xf>
    <xf numFmtId="0" fontId="6" fillId="0" borderId="0" xfId="0" applyFont="1"/>
    <xf numFmtId="0" fontId="5" fillId="3" borderId="1" xfId="0" applyFont="1" applyFill="1" applyBorder="1" applyAlignment="1">
      <alignment horizontal="center" vertical="center"/>
    </xf>
    <xf numFmtId="0" fontId="1" fillId="0" borderId="0" xfId="0" applyFont="1" applyAlignment="1"/>
    <xf numFmtId="14" fontId="2" fillId="0" borderId="1" xfId="0" applyNumberFormat="1" applyFont="1" applyBorder="1" applyAlignment="1">
      <alignment vertical="center"/>
    </xf>
    <xf numFmtId="0" fontId="1" fillId="4" borderId="0" xfId="0" applyFont="1" applyFill="1"/>
    <xf numFmtId="0" fontId="1" fillId="5" borderId="0" xfId="0" applyFont="1" applyFill="1"/>
    <xf numFmtId="0" fontId="7" fillId="0" borderId="0" xfId="0" applyFont="1" applyAlignment="1"/>
    <xf numFmtId="0" fontId="1" fillId="0" borderId="2" xfId="0" applyFont="1" applyBorder="1"/>
    <xf numFmtId="0" fontId="0" fillId="0" borderId="2" xfId="0" applyBorder="1"/>
    <xf numFmtId="0" fontId="0" fillId="0" borderId="3" xfId="0" applyFill="1" applyBorder="1"/>
    <xf numFmtId="16" fontId="0" fillId="0" borderId="2" xfId="0" applyNumberFormat="1" applyBorder="1"/>
    <xf numFmtId="20" fontId="0" fillId="0" borderId="2" xfId="0" applyNumberFormat="1" applyBorder="1"/>
    <xf numFmtId="0" fontId="1" fillId="0" borderId="0" xfId="0" applyFont="1" applyBorder="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externalLink" Target="externalLinks/externalLink1.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gostinho%20Zeinadine\Downloads\files%20(1)\Validacao_Limpeza_Dados_Excel_Saude_Mocambique.xlsx" TargetMode="External"/><Relationship Id="rId1" Type="http://schemas.openxmlformats.org/officeDocument/2006/relationships/externalLinkPath" Target="file:///C:\Users\Agostinho%20Zeinadine\Downloads\files%20(1)\Validacao_Limpeza_Dados_Excel_Saude_Mocambiqu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e Plano de Aula"/>
      <sheetName val="Dados Brutos"/>
      <sheetName val="Listas de Referencia"/>
      <sheetName val="Exercicios"/>
      <sheetName val="Solucao 1 Diagnostico"/>
      <sheetName val="Solucao 2 Limpeza"/>
      <sheetName val="Solucao 3 Validacao"/>
      <sheetName val="Estudo de Caso Final"/>
      <sheetName val="Gabarito Explicativo"/>
    </sheetNames>
    <sheetDataSet>
      <sheetData sheetId="0"/>
      <sheetData sheetId="1"/>
      <sheetData sheetId="2">
        <row r="3">
          <cell r="A3" t="str">
            <v>Cabo Delgado</v>
          </cell>
          <cell r="B3" t="str">
            <v>Pemba</v>
          </cell>
          <cell r="C3" t="str">
            <v>Malária</v>
          </cell>
          <cell r="D3" t="str">
            <v>Masculino</v>
          </cell>
          <cell r="E3" t="str">
            <v>Completo</v>
          </cell>
          <cell r="F3" t="str">
            <v>Posto de Saúde</v>
          </cell>
        </row>
        <row r="4">
          <cell r="A4" t="str">
            <v>Niassa</v>
          </cell>
          <cell r="B4" t="str">
            <v>Montepuez</v>
          </cell>
          <cell r="C4" t="str">
            <v>Cólera</v>
          </cell>
          <cell r="D4" t="str">
            <v>Feminino</v>
          </cell>
          <cell r="E4" t="str">
            <v>Incompleto</v>
          </cell>
          <cell r="F4" t="str">
            <v>Centro de Saúde</v>
          </cell>
        </row>
        <row r="5">
          <cell r="A5" t="str">
            <v>Nampula</v>
          </cell>
          <cell r="B5" t="str">
            <v>Lichinga</v>
          </cell>
          <cell r="C5" t="str">
            <v>Diarreia Aguda</v>
          </cell>
          <cell r="E5" t="str">
            <v>Não Vacinado</v>
          </cell>
          <cell r="F5" t="str">
            <v>Hospital Rural</v>
          </cell>
        </row>
        <row r="6">
          <cell r="A6" t="str">
            <v>Zambézia</v>
          </cell>
          <cell r="B6" t="str">
            <v>Cuamba</v>
          </cell>
          <cell r="C6" t="str">
            <v>Tuberculose</v>
          </cell>
          <cell r="E6" t="str">
            <v>Não Aplicável</v>
          </cell>
          <cell r="F6" t="str">
            <v>Hospital Distrital</v>
          </cell>
        </row>
        <row r="7">
          <cell r="A7" t="str">
            <v>Tete</v>
          </cell>
          <cell r="B7" t="str">
            <v>Nampula</v>
          </cell>
          <cell r="C7" t="str">
            <v>HIV/SIDA</v>
          </cell>
          <cell r="F7" t="str">
            <v>Hospital Provincial</v>
          </cell>
        </row>
        <row r="8">
          <cell r="A8" t="str">
            <v>Manica</v>
          </cell>
          <cell r="B8" t="str">
            <v>Angoche</v>
          </cell>
          <cell r="C8" t="str">
            <v>Sarampo</v>
          </cell>
          <cell r="F8" t="str">
            <v>Hospital Geral</v>
          </cell>
        </row>
        <row r="9">
          <cell r="A9" t="str">
            <v>Sofala</v>
          </cell>
          <cell r="B9" t="str">
            <v>Quelimane</v>
          </cell>
          <cell r="C9" t="str">
            <v>Febre Tifoide</v>
          </cell>
          <cell r="F9" t="str">
            <v>Hospital Central</v>
          </cell>
        </row>
        <row r="10">
          <cell r="A10" t="str">
            <v>Inhambane</v>
          </cell>
          <cell r="B10" t="str">
            <v>Mocuba</v>
          </cell>
          <cell r="C10" t="str">
            <v>Desnutrição Aguda</v>
          </cell>
        </row>
        <row r="11">
          <cell r="A11" t="str">
            <v>Gaza</v>
          </cell>
          <cell r="B11" t="str">
            <v>Tete</v>
          </cell>
          <cell r="C11" t="str">
            <v>Hipertensão Arterial</v>
          </cell>
        </row>
        <row r="12">
          <cell r="A12" t="str">
            <v>Maputo Província</v>
          </cell>
          <cell r="B12" t="str">
            <v>Moatize</v>
          </cell>
          <cell r="C12" t="str">
            <v>Diabetes Mellitus</v>
          </cell>
        </row>
        <row r="13">
          <cell r="A13" t="str">
            <v>Maputo Cidade</v>
          </cell>
          <cell r="B13" t="str">
            <v>Chimoio</v>
          </cell>
        </row>
        <row r="14">
          <cell r="B14" t="str">
            <v>Gondola</v>
          </cell>
        </row>
        <row r="15">
          <cell r="B15" t="str">
            <v>Beira</v>
          </cell>
        </row>
        <row r="16">
          <cell r="B16" t="str">
            <v>Dondo</v>
          </cell>
        </row>
        <row r="17">
          <cell r="B17" t="str">
            <v>Inhambane</v>
          </cell>
        </row>
        <row r="18">
          <cell r="B18" t="str">
            <v>Maxixe</v>
          </cell>
        </row>
        <row r="19">
          <cell r="B19" t="str">
            <v>Xai-Xai</v>
          </cell>
        </row>
        <row r="20">
          <cell r="B20" t="str">
            <v>Chibuto</v>
          </cell>
        </row>
        <row r="21">
          <cell r="B21" t="str">
            <v>Matola</v>
          </cell>
        </row>
        <row r="22">
          <cell r="B22" t="str">
            <v>Boane</v>
          </cell>
        </row>
        <row r="23">
          <cell r="B23" t="str">
            <v>Marracuene</v>
          </cell>
        </row>
        <row r="24">
          <cell r="B24" t="str">
            <v>KaMpfumo</v>
          </cell>
        </row>
        <row r="25">
          <cell r="B25" t="str">
            <v>KaMaxaquene</v>
          </cell>
        </row>
        <row r="26">
          <cell r="B26" t="str">
            <v>KaMavota</v>
          </cell>
        </row>
      </sheetData>
      <sheetData sheetId="3"/>
      <sheetData sheetId="4"/>
      <sheetData sheetId="5"/>
      <sheetData sheetId="6"/>
      <sheetData sheetId="7"/>
      <sheetData sheetId="8"/>
    </sheetDataSet>
  </externalBook>
</externalLink>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Tete%20Province" TargetMode="External"/><Relationship Id="rId13" Type="http://schemas.openxmlformats.org/officeDocument/2006/relationships/hyperlink" Target="https://www.bing.com/th?id=OSK.0857c39d5dc6994f58c0c0f71093abd3&amp;qlt=95" TargetMode="External"/><Relationship Id="rId18" Type="http://schemas.openxmlformats.org/officeDocument/2006/relationships/hyperlink" Target="https://www.bing.com/images/search?form=xlimg&amp;q=Maputo%20Province" TargetMode="External"/><Relationship Id="rId3" Type="http://schemas.openxmlformats.org/officeDocument/2006/relationships/hyperlink" Target="https://www.bing.com/th?id=OSK.7Vtj0Iay2N5xji4URnIK76zoa3UqUT_5X3ko5plVbNQ&amp;qlt=95" TargetMode="External"/><Relationship Id="rId7" Type="http://schemas.openxmlformats.org/officeDocument/2006/relationships/hyperlink" Target="https://www.bing.com/th?id=OSK.779443d235f936ed9b49d4422b7f6d12&amp;qlt=95" TargetMode="External"/><Relationship Id="rId12" Type="http://schemas.openxmlformats.org/officeDocument/2006/relationships/hyperlink" Target="https://www.bing.com/images/search?form=xlimg&amp;q=Sofala%20Province" TargetMode="External"/><Relationship Id="rId17" Type="http://schemas.openxmlformats.org/officeDocument/2006/relationships/hyperlink" Target="https://www.bing.com/th?id=OSK.9f567a6942054c65e0d2ba6958064130&amp;qlt=95" TargetMode="External"/><Relationship Id="rId2" Type="http://schemas.openxmlformats.org/officeDocument/2006/relationships/hyperlink" Target="https://www.bing.com/images/search?form=xlimg&amp;q=Niassa%20Province" TargetMode="External"/><Relationship Id="rId16" Type="http://schemas.openxmlformats.org/officeDocument/2006/relationships/hyperlink" Target="https://www.bing.com/images/search?form=xlimg&amp;q=Gaza%20Province" TargetMode="External"/><Relationship Id="rId20" Type="http://schemas.openxmlformats.org/officeDocument/2006/relationships/hyperlink" Target="https://www.bing.com/images/search?form=xlimg&amp;q=Cabo%20Delgado%20Province" TargetMode="External"/><Relationship Id="rId1" Type="http://schemas.openxmlformats.org/officeDocument/2006/relationships/hyperlink" Target="https://www.bing.com/th?id=OSK.a16069db93e9dba7d548976fd739c2be&amp;qlt=95" TargetMode="External"/><Relationship Id="rId6" Type="http://schemas.openxmlformats.org/officeDocument/2006/relationships/hyperlink" Target="https://www.bing.com/images/search?form=xlimg&amp;q=Zambezia%20Province" TargetMode="External"/><Relationship Id="rId11" Type="http://schemas.openxmlformats.org/officeDocument/2006/relationships/hyperlink" Target="https://www.bing.com/th?id=OSK.5733cff30acc22e30d21574fe63a133e&amp;qlt=95" TargetMode="External"/><Relationship Id="rId5" Type="http://schemas.openxmlformats.org/officeDocument/2006/relationships/hyperlink" Target="https://www.bing.com/th?id=OSK.e1d2f234aae4c3a84d6dcefd491f6a90&amp;qlt=95" TargetMode="External"/><Relationship Id="rId15" Type="http://schemas.openxmlformats.org/officeDocument/2006/relationships/hyperlink" Target="https://www.bing.com/th?id=OSK.62da3baf5f151bb2523afaa38461f0f9&amp;qlt=95" TargetMode="External"/><Relationship Id="rId10" Type="http://schemas.openxmlformats.org/officeDocument/2006/relationships/hyperlink" Target="https://www.bing.com/images/search?form=xlimg&amp;q=Manica%20Province" TargetMode="External"/><Relationship Id="rId19" Type="http://schemas.openxmlformats.org/officeDocument/2006/relationships/hyperlink" Target="https://www.bing.com/th?id=OSK.0c692e80c58d474e98e92c7f3d19df67&amp;qlt=95" TargetMode="External"/><Relationship Id="rId4" Type="http://schemas.openxmlformats.org/officeDocument/2006/relationships/hyperlink" Target="https://www.bing.com/images/search?form=xlimg&amp;q=Nampula%20Province" TargetMode="External"/><Relationship Id="rId9" Type="http://schemas.openxmlformats.org/officeDocument/2006/relationships/hyperlink" Target="https://www.bing.com/th?id=OSK.db9c6ef93939b4b65858cd07fd180c7b&amp;qlt=95" TargetMode="External"/><Relationship Id="rId14" Type="http://schemas.openxmlformats.org/officeDocument/2006/relationships/hyperlink" Target="https://www.bing.com/images/search?form=xlimg&amp;q=Inhambane%20Province"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11">
  <a r="2">
    <v t="r">13</v>
    <v t="r">14</v>
  </a>
  <a r="1">
    <v t="s">Horário da África Central</v>
  </a>
  <a r="2">
    <v t="r">24</v>
    <v t="r">25</v>
  </a>
  <a r="5">
    <v t="r">34</v>
    <v t="r">35</v>
    <v t="r">36</v>
    <v t="r">37</v>
    <v t="r">38</v>
  </a>
  <a r="2">
    <v t="r">47</v>
    <v t="r">48</v>
  </a>
  <a r="2">
    <v t="r">57</v>
    <v t="r">58</v>
  </a>
  <a r="2">
    <v t="r">67</v>
    <v t="r">68</v>
  </a>
  <a r="2">
    <v t="s">UTC+2</v>
    <v t="s">UTC+1</v>
  </a>
  <a r="2">
    <v t="r">79</v>
    <v t="r">80</v>
  </a>
  <a r="1">
    <v t="s">Língua portuguesa</v>
  </a>
  <a r="2">
    <v t="r">97</v>
    <v t="r">98</v>
  </a>
</arrayData>
</file>

<file path=xl/richData/rdrichvalue.xml><?xml version="1.0" encoding="utf-8"?>
<rvData xmlns="http://schemas.microsoft.com/office/spreadsheetml/2017/richdata" count="102">
  <rv s="0">
    <v>536870912</v>
    <v>Niassa Province</v>
    <v>42011373-ef53-85b1-2f7e-7ac3b4192e52</v>
    <v>pt-BR</v>
    <v>Map</v>
  </rv>
  <rv s="1">
    <fb>122827</fb>
    <v>10</v>
  </rv>
  <rv s="0">
    <v>536870912</v>
    <v>Lichinga</v>
    <v>c00b0fcd-b725-4ce6-71a6-4f815470de7f</v>
    <v>pt-PT</v>
    <v>Map</v>
  </rv>
  <rv s="2">
    <v>0</v>
    <v>8</v>
    <v>0</v>
    <v>7</v>
    <v>0</v>
    <v>Image of Niassa Province</v>
  </rv>
  <rv s="3">
    <v>https://www.bing.com/search?q=Niassa+prov%c3%adncia&amp;form=skydnc</v>
    <v>Aprenda mais com Bing</v>
  </rv>
  <rv s="0">
    <v>536870912</v>
    <v>Moçambique</v>
    <v>a7f78d5f-1f90-031f-0dbd-c31c66e057d5</v>
    <v>pt-PT</v>
    <v>Map</v>
  </rv>
  <rv s="1">
    <fb>1810794</fb>
    <v>10</v>
  </rv>
  <rv s="4">
    <v>#VALUE!</v>
    <v>pt-BR</v>
    <v>42011373-ef53-85b1-2f7e-7ac3b4192e52</v>
    <v>536870912</v>
    <v>1</v>
    <v>2</v>
    <v>3</v>
    <v>4</v>
    <v>Niassa Province</v>
    <v>6</v>
    <v>7</v>
    <v>Map</v>
    <v>8</v>
    <v>9</v>
    <v>MZ-A</v>
    <v>1</v>
    <v>2</v>
    <v>Niassa is a province of Mozambique with an area of 129,056 km² and a population of 1,810,794. It is the most sparsely populated province in the country. Lichinga is the capital of the province. There are a minimum estimated 450,000 Yao people ...</v>
    <v>3</v>
    <v>4</v>
    <v>2</v>
    <v>Niassa Province</v>
    <v>5</v>
    <v>6</v>
    <v>Niassa Province</v>
    <v>mdp/vdpid/161622453</v>
  </rv>
  <rv s="0">
    <v>536870912</v>
    <v>Nampula Province</v>
    <v>b45ef35f-3689-e855-c77c-99ce450bac9e</v>
    <v>pt-BR</v>
    <v>Map</v>
  </rv>
  <rv s="1">
    <fb>79010</fb>
    <v>10</v>
  </rv>
  <rv s="0">
    <v>536870912</v>
    <v>Nampula</v>
    <v>146c15f4-5a3c-4686-b919-3481e2e0e521</v>
    <v>pt-PT</v>
    <v>Map</v>
  </rv>
  <rv s="2">
    <v>1</v>
    <v>8</v>
    <v>11</v>
    <v>7</v>
    <v>0</v>
    <v>Image of Nampula Province</v>
  </rv>
  <rv s="3">
    <v>https://www.bing.com/search?q=Nampula+prov%c3%adncia&amp;form=skydnc</v>
    <v>Aprenda mais com Bing</v>
  </rv>
  <rv s="0">
    <v>805306368</v>
    <v>Eduardo Abdula (Governor)</v>
    <v>99ecfce3-4b86-2510-6f0c-00f3103e5f14</v>
    <v>pt-PT</v>
    <v>Generic</v>
  </rv>
  <rv s="0">
    <v>805306368</v>
    <v>Eduardo Abdula (Governador)</v>
    <v>99ecfce3-4b86-2510-6f0c-00f3103e5f14</v>
    <v>pt-PT</v>
    <v>Generic</v>
  </rv>
  <rv s="5">
    <v>0</v>
  </rv>
  <rv s="1">
    <fb>5758920</fb>
    <v>10</v>
  </rv>
  <rv s="6">
    <v>#VALUE!</v>
    <v>pt-BR</v>
    <v>b45ef35f-3689-e855-c77c-99ce450bac9e</v>
    <v>536870912</v>
    <v>1</v>
    <v>13</v>
    <v>3</v>
    <v>14</v>
    <v>Nampula Province</v>
    <v>6</v>
    <v>7</v>
    <v>Map</v>
    <v>8</v>
    <v>9</v>
    <v>MZ-N</v>
    <v>9</v>
    <v>10</v>
    <v>Nampula is a province of northern Mozambique. It has an area of 79,010 km² and a population of 5,758,920, making it the most populous province in Mozambique. Nampula is the capital of the province. Under Portuguese rule, this province was named ...</v>
    <v>11</v>
    <v>12</v>
    <v>15</v>
    <v>10</v>
    <v>Nampula Province</v>
    <v>5</v>
    <v>16</v>
    <v>Nampula Province</v>
    <v>mdp/vdpid/9673655</v>
  </rv>
  <rv s="0">
    <v>536870912</v>
    <v>Zambezia Province</v>
    <v>1ff2b2ab-acf2-31bb-c86a-1a3705c17787</v>
    <v>pt-BR</v>
    <v>Map</v>
  </rv>
  <rv s="1">
    <fb>103478</fb>
    <v>10</v>
  </rv>
  <rv s="0">
    <v>536870912</v>
    <v>Quelimane</v>
    <v>4c473f6c-00f4-638f-e9ca-c10c48d89b07</v>
    <v>pt-PT</v>
    <v>Map</v>
  </rv>
  <rv s="5">
    <v>1</v>
  </rv>
  <rv s="2">
    <v>2</v>
    <v>8</v>
    <v>15</v>
    <v>7</v>
    <v>0</v>
    <v>Image of Zambezia Province</v>
  </rv>
  <rv s="3">
    <v>https://www.bing.com/search?q=Zambezia+Province&amp;form=skydnc</v>
    <v>Aprenda mais com Bing</v>
  </rv>
  <rv s="0">
    <v>805306368</v>
    <v>Pio Augusto Matos (Governor)</v>
    <v>fdd48b1c-0aa2-9194-eb61-76cdfb8b5796</v>
    <v>pt-PT</v>
    <v>Generic</v>
  </rv>
  <rv s="0">
    <v>805306368</v>
    <v>Pio Augusto Matos (Governador)</v>
    <v>fdd48b1c-0aa2-9194-eb61-76cdfb8b5796</v>
    <v>pt-PT</v>
    <v>Generic</v>
  </rv>
  <rv s="5">
    <v>2</v>
  </rv>
  <rv s="1">
    <fb>5110787</fb>
    <v>10</v>
  </rv>
  <rv s="7">
    <v>#VALUE!</v>
    <v>pt-BR</v>
    <v>1ff2b2ab-acf2-31bb-c86a-1a3705c17787</v>
    <v>536870912</v>
    <v>1</v>
    <v>17</v>
    <v>3</v>
    <v>18</v>
    <v>Zambezia Province</v>
    <v>6</v>
    <v>7</v>
    <v>Map</v>
    <v>8</v>
    <v>9</v>
    <v>MZ-Q</v>
    <v>19</v>
    <v>20</v>
    <v>Zambezia is the second most-populous province of Mozambique. It is located in the central coastal region, and it borders the provinces of Niassa to the north, Nampula to the northeast, Sofala to the southwest, Tete to the west and the country of ...</v>
    <v>21</v>
    <v>22</v>
    <v>23</v>
    <v>26</v>
    <v>20</v>
    <v>Zambezia Province</v>
    <v>5</v>
    <v>27</v>
    <v>Zambezia Province</v>
    <v>mdp/vdpid/10107381</v>
  </rv>
  <rv s="0">
    <v>536870912</v>
    <v>Tete Province</v>
    <v>cfa93a22-ea12-c7f6-686b-5c7b7852f88e</v>
    <v>pt-BR</v>
    <v>Map</v>
  </rv>
  <rv s="1">
    <fb>98417</fb>
    <v>10</v>
  </rv>
  <rv s="0">
    <v>536870912</v>
    <v>Tete</v>
    <v>45206976-9a1c-68ce-68d6-ac7bdb249803</v>
    <v>pt-PT</v>
    <v>Map</v>
  </rv>
  <rv s="2">
    <v>3</v>
    <v>8</v>
    <v>19</v>
    <v>7</v>
    <v>0</v>
    <v>Image of Tete Province</v>
  </rv>
  <rv s="3">
    <v>https://www.bing.com/search?q=Tete+prov%c3%adncia&amp;form=skydnc</v>
    <v>Aprenda mais com Bing</v>
  </rv>
  <rv s="0">
    <v>805306368</v>
    <v>Domingos Juliasse Viola (Governor)</v>
    <v>70db9f52-2774-939f-5528-943613b6a57d</v>
    <v>pt-PT</v>
    <v>Generic</v>
  </rv>
  <rv s="0">
    <v>805306368</v>
    <v>Domingos Juliasse Viola (Governador)</v>
    <v>70db9f52-2774-939f-5528-943613b6a57d</v>
    <v>pt-PT</v>
    <v>Generic</v>
  </rv>
  <rv s="0">
    <v>805306368</v>
    <v>Frente de Libertação de Moçambique (Governor)</v>
    <v>825a6871-5d33-7b54-95f3-10765906eb87</v>
    <v>pt-PT</v>
    <v>Generic</v>
  </rv>
  <rv s="0">
    <v>805306368</v>
    <v>Frente de Libertação de Moçambique (Governador)</v>
    <v>825a6871-5d33-7b54-95f3-10765906eb87</v>
    <v>pt-PT</v>
    <v>Generic</v>
  </rv>
  <rv s="0">
    <v>805306368</v>
    <v>Cristina de Jesus Xavier Mafumo (Secretário de Estado)</v>
    <v>07db6c85-819d-aabe-afd5-1a60ac0987be</v>
    <v>pt-PT</v>
    <v>Generic</v>
  </rv>
  <rv s="5">
    <v>3</v>
  </rv>
  <rv s="1">
    <fb>2648941</fb>
    <v>10</v>
  </rv>
  <rv s="6">
    <v>#VALUE!</v>
    <v>pt-BR</v>
    <v>cfa93a22-ea12-c7f6-686b-5c7b7852f88e</v>
    <v>536870912</v>
    <v>1</v>
    <v>21</v>
    <v>3</v>
    <v>14</v>
    <v>Tete Province</v>
    <v>6</v>
    <v>7</v>
    <v>Map</v>
    <v>8</v>
    <v>9</v>
    <v>MZ-T</v>
    <v>30</v>
    <v>31</v>
    <v>Tete is a province of Mozambique, located in the northwest of the country. It has an area of 98,417 km² and a population of 2,648,941. Tete is the capital of the province. The Cahora Bassa Dam is situated in this province.</v>
    <v>32</v>
    <v>33</v>
    <v>39</v>
    <v>31</v>
    <v>Tete Province</v>
    <v>5</v>
    <v>40</v>
    <v>Tete Province</v>
    <v>mdp/vdpid/9666296</v>
  </rv>
  <rv s="0">
    <v>536870912</v>
    <v>Manica Province</v>
    <v>d1fb7605-afd7-bf22-9c3e-885d5343919c</v>
    <v>pt-BR</v>
    <v>Map</v>
  </rv>
  <rv s="1">
    <fb>62272</fb>
    <v>10</v>
  </rv>
  <rv s="0">
    <v>536870912</v>
    <v>Chimoio</v>
    <v>a9e122db-103b-dcbe-e161-73496d847a5a</v>
    <v>pt-PT</v>
    <v>Map</v>
  </rv>
  <rv s="2">
    <v>4</v>
    <v>8</v>
    <v>22</v>
    <v>7</v>
    <v>0</v>
    <v>Image of Manica Province</v>
  </rv>
  <rv s="3">
    <v>https://www.bing.com/search?q=Manica+prov%c3%adncia&amp;form=skydnc</v>
    <v>Aprenda mais com Bing</v>
  </rv>
  <rv s="0">
    <v>805306368</v>
    <v>Francisca Domingos Tomás (Governor)</v>
    <v>7c474e8e-8a7b-59ac-796f-41711b6069ed</v>
    <v>pt-PT</v>
    <v>Generic</v>
  </rv>
  <rv s="0">
    <v>805306368</v>
    <v>Francisca Domingos Tomás (Governador)</v>
    <v>7c474e8e-8a7b-59ac-796f-41711b6069ed</v>
    <v>pt-PT</v>
    <v>Generic</v>
  </rv>
  <rv s="5">
    <v>4</v>
  </rv>
  <rv s="1">
    <fb>1945994</fb>
    <v>10</v>
  </rv>
  <rv s="6">
    <v>#VALUE!</v>
    <v>pt-BR</v>
    <v>d1fb7605-afd7-bf22-9c3e-885d5343919c</v>
    <v>536870912</v>
    <v>1</v>
    <v>24</v>
    <v>3</v>
    <v>14</v>
    <v>Manica Province</v>
    <v>6</v>
    <v>7</v>
    <v>Map</v>
    <v>8</v>
    <v>9</v>
    <v>MZ-B</v>
    <v>43</v>
    <v>44</v>
    <v>Manica is a province of Mozambique. It has an area of 62,272 km² and a population of 1,945,994. The province is surrounded by Zimbabwe to the west, Tete Province to the northwest, Sofala Province to the east, the Save River to the south, and the ...</v>
    <v>45</v>
    <v>46</v>
    <v>49</v>
    <v>44</v>
    <v>Manica Province</v>
    <v>5</v>
    <v>50</v>
    <v>Manica Province</v>
    <v>mdp/vdpid/161622456</v>
  </rv>
  <rv s="0">
    <v>536870912</v>
    <v>Sofala Province</v>
    <v>4f472e22-3748-7fd0-52b2-aff1245d8f5d</v>
    <v>pt-BR</v>
    <v>Map</v>
  </rv>
  <rv s="1">
    <fb>68018</fb>
    <v>10</v>
  </rv>
  <rv s="0">
    <v>536870912</v>
    <v>Beira</v>
    <v>e5e67fb0-7002-bdeb-5a85-e58421381c49</v>
    <v>pt-PT</v>
    <v>Map</v>
  </rv>
  <rv s="2">
    <v>5</v>
    <v>8</v>
    <v>25</v>
    <v>7</v>
    <v>0</v>
    <v>Image of Sofala Province</v>
  </rv>
  <rv s="3">
    <v>https://www.bing.com/search?q=Sofala+prov%c3%adncia&amp;form=skydnc</v>
    <v>Aprenda mais com Bing</v>
  </rv>
  <rv s="0">
    <v>805306368</v>
    <v>Lourenço Ferreira Bulha (Governor)</v>
    <v>fbe4b0c4-bf7c-88b1-7dd6-206a223d8bc4</v>
    <v>pt-PT</v>
    <v>Generic</v>
  </rv>
  <rv s="0">
    <v>805306368</v>
    <v>Lourenço Ferreira Bulha (Governador)</v>
    <v>fbe4b0c4-bf7c-88b1-7dd6-206a223d8bc4</v>
    <v>pt-PT</v>
    <v>Generic</v>
  </rv>
  <rv s="5">
    <v>5</v>
  </rv>
  <rv s="1">
    <fb>2259248</fb>
    <v>10</v>
  </rv>
  <rv s="6">
    <v>#VALUE!</v>
    <v>pt-BR</v>
    <v>4f472e22-3748-7fd0-52b2-aff1245d8f5d</v>
    <v>536870912</v>
    <v>1</v>
    <v>27</v>
    <v>3</v>
    <v>14</v>
    <v>Sofala Province</v>
    <v>6</v>
    <v>7</v>
    <v>Map</v>
    <v>8</v>
    <v>9</v>
    <v>MZ-S</v>
    <v>53</v>
    <v>54</v>
    <v>Sofala is a province of Mozambique. It has a population of 2,259,248. Beira is the capital of the province, named for the ruined port of Sofala which is 35 kilometres to the south. Portuguese landholder and imperialist Joaquim Carlos Paiva de ...</v>
    <v>55</v>
    <v>56</v>
    <v>59</v>
    <v>54</v>
    <v>Sofala Province</v>
    <v>5</v>
    <v>60</v>
    <v>Sofala Province</v>
    <v>mdp/vdpid/9667090</v>
  </rv>
  <rv s="0">
    <v>536870912</v>
    <v>Inhambane Province</v>
    <v>d5ef9c0c-291b-87ed-3596-2c66485f7bcb</v>
    <v>pt-BR</v>
    <v>Map</v>
  </rv>
  <rv s="1">
    <fb>68775</fb>
    <v>10</v>
  </rv>
  <rv s="0">
    <v>536870912</v>
    <v>Inhambane</v>
    <v>5dac91df-7ff4-9253-a69b-a8a891473678</v>
    <v>pt-PT</v>
    <v>Map</v>
  </rv>
  <rv s="2">
    <v>6</v>
    <v>8</v>
    <v>28</v>
    <v>7</v>
    <v>0</v>
    <v>Image of Inhambane Province</v>
  </rv>
  <rv s="3">
    <v>https://www.bing.com/search?q=Inhambane+Province&amp;form=skydnc</v>
    <v>Aprenda mais com Bing</v>
  </rv>
  <rv s="0">
    <v>805306368</v>
    <v>Eduardo Mussanhane (Governor)</v>
    <v>e16ab889-d4f6-c054-ce0f-8a1d87714b84</v>
    <v>pt-PT</v>
    <v>Generic</v>
  </rv>
  <rv s="0">
    <v>805306368</v>
    <v>Eduardo Mussanhane (Governador)</v>
    <v>e16ab889-d4f6-c054-ce0f-8a1d87714b84</v>
    <v>pt-PT</v>
    <v>Generic</v>
  </rv>
  <rv s="5">
    <v>6</v>
  </rv>
  <rv s="0">
    <v>536870912</v>
    <v>Maxixe</v>
    <v>36b4b7a7-8a2f-1554-1f0b-11db4019dd6d</v>
    <v>pt-PT</v>
    <v>Map</v>
  </rv>
  <rv s="1">
    <fb>1488676</fb>
    <v>10</v>
  </rv>
  <rv s="6">
    <v>#VALUE!</v>
    <v>pt-BR</v>
    <v>d5ef9c0c-291b-87ed-3596-2c66485f7bcb</v>
    <v>536870912</v>
    <v>1</v>
    <v>30</v>
    <v>3</v>
    <v>14</v>
    <v>Inhambane Province</v>
    <v>6</v>
    <v>7</v>
    <v>Map</v>
    <v>8</v>
    <v>9</v>
    <v>MZ-I</v>
    <v>63</v>
    <v>64</v>
    <v>Inhambane is a province of Mozambique located on the coast in the southern part of the country. It has an area of 68,615 km² and a population of 1,488,676. The provincial capital is also called Inhambane.</v>
    <v>65</v>
    <v>66</v>
    <v>69</v>
    <v>70</v>
    <v>Inhambane Province</v>
    <v>5</v>
    <v>71</v>
    <v>Inhambane Province</v>
    <v>mdp/vdpid/161622457</v>
  </rv>
  <rv s="0">
    <v>536870912</v>
    <v>Gaza Province</v>
    <v>ed9118ad-6a52-a758-4ad2-3bb6d7ad6a72</v>
    <v>pt-BR</v>
    <v>Map</v>
  </rv>
  <rv s="1">
    <fb>75334</fb>
    <v>10</v>
  </rv>
  <rv s="0">
    <v>536870912</v>
    <v>Xai-Xai</v>
    <v>9c0c0148-4ef6-466d-ee49-9374f2839992</v>
    <v>pt-PT</v>
    <v>Map</v>
  </rv>
  <rv s="5">
    <v>7</v>
  </rv>
  <rv s="2">
    <v>7</v>
    <v>8</v>
    <v>31</v>
    <v>7</v>
    <v>0</v>
    <v>Image of Gaza Province</v>
  </rv>
  <rv s="3">
    <v>https://www.bing.com/search?q=Gaza+prov%c3%adncia&amp;form=skydnc</v>
    <v>Aprenda mais com Bing</v>
  </rv>
  <rv s="0">
    <v>805306368</v>
    <v>Margarida Mapanzene (Governor)</v>
    <v>526fcf13-b916-e8c4-6165-6983fe9bb8cc</v>
    <v>pt-PT</v>
    <v>Generic</v>
  </rv>
  <rv s="0">
    <v>805306368</v>
    <v>Margarida Mapanzene (Governador)</v>
    <v>526fcf13-b916-e8c4-6165-6983fe9bb8cc</v>
    <v>pt-PT</v>
    <v>Generic</v>
  </rv>
  <rv s="5">
    <v>8</v>
  </rv>
  <rv s="1">
    <fb>1422460</fb>
    <v>10</v>
  </rv>
  <rv s="7">
    <v>#VALUE!</v>
    <v>pt-BR</v>
    <v>ed9118ad-6a52-a758-4ad2-3bb6d7ad6a72</v>
    <v>536870912</v>
    <v>1</v>
    <v>33</v>
    <v>3</v>
    <v>18</v>
    <v>Gaza Province</v>
    <v>6</v>
    <v>7</v>
    <v>Map</v>
    <v>8</v>
    <v>9</v>
    <v>MZ-G</v>
    <v>74</v>
    <v>75</v>
    <v>Gaza is a province of Mozambique. It has an area of 75,709 km² and a population of 1,422,460, which is the least populous of all the provinces of Mozambique. Xai-Xai is the capital of the province. It borders Inhambane Province is to the east, ...</v>
    <v>76</v>
    <v>77</v>
    <v>78</v>
    <v>81</v>
    <v>75</v>
    <v>Gaza Province</v>
    <v>5</v>
    <v>82</v>
    <v>Gaza Province</v>
    <v>mdp/vdpid/161622458</v>
  </rv>
  <rv s="0">
    <v>536870912</v>
    <v>Maputo Province</v>
    <v>4af3ad4a-4b1f-83c9-d3b3-6993c601770f</v>
    <v>pt-BR</v>
    <v>Map</v>
  </rv>
  <rv s="1">
    <fb>22693</fb>
    <v>10</v>
  </rv>
  <rv s="0">
    <v>536870912</v>
    <v>Matola</v>
    <v>1035c02b-ca1a-0cae-2e45-6b8efbdf1952</v>
    <v>pt-PT</v>
    <v>Map</v>
  </rv>
  <rv s="2">
    <v>8</v>
    <v>8</v>
    <v>34</v>
    <v>7</v>
    <v>0</v>
    <v>Image of Maputo Province</v>
  </rv>
  <rv s="3">
    <v>https://www.bing.com/search?q=Maputo+prov%c3%adncia&amp;form=skydnc</v>
    <v>Aprenda mais com Bing</v>
  </rv>
  <rv s="1">
    <fb>2216460</fb>
    <v>10</v>
  </rv>
  <rv s="4">
    <v>#VALUE!</v>
    <v>pt-BR</v>
    <v>4af3ad4a-4b1f-83c9-d3b3-6993c601770f</v>
    <v>536870912</v>
    <v>1</v>
    <v>36</v>
    <v>3</v>
    <v>4</v>
    <v>Maputo Province</v>
    <v>6</v>
    <v>7</v>
    <v>Map</v>
    <v>8</v>
    <v>37</v>
    <v>MZ-L</v>
    <v>85</v>
    <v>86</v>
    <v>Maputo is a province of Mozambique; the province excludes the city of Maputo. The province has an area of 22,693 km² and a population of 1,968,906. Its capital is the city of Matola. Maputo Province is the southernmost province of Mozambique. It ...</v>
    <v>87</v>
    <v>88</v>
    <v>86</v>
    <v>Maputo Province</v>
    <v>5</v>
    <v>89</v>
    <v>Maputo Province</v>
    <v>mdp/vdpid/161622455</v>
  </rv>
  <rv s="0">
    <v>536870912</v>
    <v>Cabo Delgado Province</v>
    <v>e5092fb2-807d-6dde-7af0-8c5ce915dc09</v>
    <v>pt-BR</v>
    <v>Map</v>
  </rv>
  <rv s="1">
    <fb>78778</fb>
    <v>10</v>
  </rv>
  <rv s="0">
    <v>536870912</v>
    <v>Pemba</v>
    <v>f5f9e716-d59d-fcbf-f34c-947815b5fcd9</v>
    <v>pt-PT</v>
    <v>Map</v>
  </rv>
  <rv s="5">
    <v>9</v>
  </rv>
  <rv s="2">
    <v>9</v>
    <v>8</v>
    <v>38</v>
    <v>7</v>
    <v>0</v>
    <v>Image of Cabo Delgado Province</v>
  </rv>
  <rv s="3">
    <v>https://www.bing.com/search?q=Cabo+Delgado+prov%c3%adncia&amp;form=skydnc</v>
    <v>Aprenda mais com Bing</v>
  </rv>
  <rv s="0">
    <v>805306368</v>
    <v>Valige Tauabo (Governor)</v>
    <v>1e7dcf60-1362-70f6-023a-6f3d8e14fd9a</v>
    <v>pt-PT</v>
    <v>Generic</v>
  </rv>
  <rv s="0">
    <v>805306368</v>
    <v>Valige Tauabo (Governador)</v>
    <v>1e7dcf60-1362-70f6-023a-6f3d8e14fd9a</v>
    <v>pt-PT</v>
    <v>Generic</v>
  </rv>
  <rv s="5">
    <v>10</v>
  </rv>
  <rv s="1">
    <fb>2320261</fb>
    <v>10</v>
  </rv>
  <rv s="8">
    <v>#VALUE!</v>
    <v>pt-BR</v>
    <v>e5092fb2-807d-6dde-7af0-8c5ce915dc09</v>
    <v>536870912</v>
    <v>1</v>
    <v>40</v>
    <v>3</v>
    <v>41</v>
    <v>Cabo Delgado Province</v>
    <v>6</v>
    <v>7</v>
    <v>Map</v>
    <v>8</v>
    <v>9</v>
    <v>MZ-P</v>
    <v>92</v>
    <v>93</v>
    <v>Cabo Delgado is the northernmost province of Mozambique. It has an area of 82,625 km² and a population of 2,320,261. It borders the Mtwara Region in the neighbouring country of Tanzania, and the provinces of Nampula and Niassa.</v>
    <v>94</v>
    <v>95</v>
    <v>96</v>
    <v>99</v>
    <v>93</v>
    <v>Cabo Delgado Province</v>
    <v>5</v>
    <v>100</v>
    <v>Cabo Delgado Province</v>
    <v>mdp/vdpid/161622459</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Imagem" t="r"/>
    <k n="LearnMoreOnLink" t="r"/>
    <k n="Maior cidade" t="r"/>
    <k n="Nome" t="s"/>
    <k n="País/região" t="r"/>
    <k n="População" t="r"/>
    <k n="UniqueName" t="s"/>
    <k n="VDPID/VSID"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Fusos horários" t="r"/>
    <k n="Imagem" t="r"/>
    <k n="LearnMoreOnLink" t="r"/>
    <k n="Líder(es)" t="r"/>
    <k n="Maior cida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ção" t="s"/>
    <k n="`Área" t="r"/>
    <k n="Capital/Maior Cidade" t="r"/>
    <k n="Descrição" t="s"/>
    <k n="Idioma oficial" t="r"/>
    <k n="Imagem" t="r"/>
    <k n="LearnMoreOnLink" t="r"/>
    <k n="Líder(es)" t="r"/>
    <k n="Maior cidade" t="r"/>
    <k n="Nome" t="s"/>
    <k n="País/região" t="r"/>
    <k n="População" t="r"/>
    <k n="UniqueName" t="s"/>
    <k n="VDPID/VSID" t="s"/>
  </s>
</rvStructures>
</file>

<file path=xl/richData/rdsupportingpropertybag.xml><?xml version="1.0" encoding="utf-8"?>
<supportingPropertyBags xmlns="http://schemas.microsoft.com/office/spreadsheetml/2017/richdata2">
  <spbArrays count="4">
    <a count="25">
      <v t="s">%EntityServiceId</v>
      <v t="s">%IsRefreshable</v>
      <v t="s">_CanonicalPropertyNames</v>
      <v t="s">%EntityCulture</v>
      <v t="s">%EntityId</v>
      <v t="s">_Icon</v>
      <v t="s">_Provider</v>
      <v t="s">_Attribution</v>
      <v t="s">_Display</v>
      <v t="s">Nome</v>
      <v t="s">_Format</v>
      <v t="s">Capital/Maior Cidade</v>
      <v t="s">País/região</v>
      <v t="s">_SubLabel</v>
      <v t="s">População</v>
      <v t="s">`Área</v>
      <v t="s">Abreviação</v>
      <v t="s">Maior cidade</v>
      <v t="s">_Flags</v>
      <v t="s">VDPID/VSID</v>
      <v t="s">UniqueName</v>
      <v t="s">_DisplayString</v>
      <v t="s">LearnMoreOnLink</v>
      <v t="s">Imagem</v>
      <v t="s">Descrição</v>
    </a>
    <a count="26">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_Flags</v>
      <v t="s">VDPID/VSID</v>
      <v t="s">UniqueName</v>
      <v t="s">_DisplayString</v>
      <v t="s">LearnMoreOnLink</v>
      <v t="s">Imagem</v>
      <v t="s">Descrição</v>
    </a>
    <a count="27">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Fusos horários</v>
      <v t="s">_Flags</v>
      <v t="s">VDPID/VSID</v>
      <v t="s">UniqueName</v>
      <v t="s">_DisplayString</v>
      <v t="s">LearnMoreOnLink</v>
      <v t="s">Imagem</v>
      <v t="s">Descrição</v>
    </a>
    <a count="27">
      <v t="s">%EntityServiceId</v>
      <v t="s">%IsRefreshable</v>
      <v t="s">_CanonicalPropertyNames</v>
      <v t="s">%EntityCulture</v>
      <v t="s">%EntityId</v>
      <v t="s">_Icon</v>
      <v t="s">_Provider</v>
      <v t="s">_Attribution</v>
      <v t="s">_Display</v>
      <v t="s">Nome</v>
      <v t="s">_Format</v>
      <v t="s">Capital/Maior Cidade</v>
      <v t="s">Líder(es)</v>
      <v t="s">País/região</v>
      <v t="s">_SubLabel</v>
      <v t="s">População</v>
      <v t="s">`Área</v>
      <v t="s">Abreviação</v>
      <v t="s">Maior cidade</v>
      <v t="s">Idioma oficial</v>
      <v t="s">_Flags</v>
      <v t="s">VDPID/VSID</v>
      <v t="s">UniqueName</v>
      <v t="s">_DisplayString</v>
      <v t="s">LearnMoreOnLink</v>
      <v t="s">Imagem</v>
      <v t="s">Descrição</v>
    </a>
  </spbArrays>
  <spbData count="42">
    <spb s="0">
      <v xml:space="preserve">Wikipedia	</v>
      <v xml:space="preserve">CC BY-SA 3.0	</v>
      <v xml:space="preserve">https://en.wikipedia.org/wiki/Niassa_Province	</v>
      <v xml:space="preserve">https://creativecommons.org/licenses/by-sa/3.0	</v>
    </spb>
    <spb s="0">
      <v xml:space="preserve">Wikipedia	</v>
      <v xml:space="preserve">CC-BY-SA	</v>
      <v xml:space="preserve">http://en.wikipedia.org/wiki/Niassa_Province	</v>
      <v xml:space="preserve">http://creativecommons.org/licenses/by-sa/3.0/	</v>
    </spb>
    <spb s="1">
      <v>0</v>
      <v>0</v>
      <v>0</v>
      <v>0</v>
      <v>1</v>
      <v>0</v>
      <v>0</v>
      <v>0</v>
      <v>0</v>
    </spb>
    <spb s="2">
      <v>Name</v>
      <v>Area</v>
      <v>Image</v>
      <v>Description</v>
      <v>Population</v>
      <v>Abbreviation</v>
      <v>UniqueName</v>
      <v>VDPID/VSID</v>
      <v>Country/region</v>
      <v>Largest city</v>
      <v>LearnMoreOnLink</v>
      <v>Capital/Major City</v>
    </spb>
    <spb s="3">
      <v>0</v>
      <v>Name</v>
      <v>LearnMoreOnLink</v>
    </spb>
    <spb s="4">
      <v>0</v>
      <v>0</v>
      <v>0</v>
    </spb>
    <spb s="5">
      <v>5</v>
      <v>5</v>
      <v>5</v>
    </spb>
    <spb s="6">
      <v>1</v>
      <v>2</v>
    </spb>
    <spb s="7">
      <v>https://www.bing.com</v>
      <v>https://www.bing.com/th?id=Ga%5Cbing_yt.png&amp;w=100&amp;h=40&amp;c=0&amp;pid=0.1</v>
      <v>Da plataforma Bing</v>
    </spb>
    <spb s="8">
      <v>km quadrado</v>
      <v>2017</v>
    </spb>
    <spb s="9">
      <v>3</v>
    </spb>
    <spb s="0">
      <v xml:space="preserve">Wikipedia	</v>
      <v xml:space="preserve">CC BY-SA 3.0	</v>
      <v xml:space="preserve">https://en.wikipedia.org/wiki/Nampula_Province	</v>
      <v xml:space="preserve">https://creativecommons.org/licenses/by-sa/3.0	</v>
    </spb>
    <spb s="0">
      <v xml:space="preserve">Wikipedia	</v>
      <v xml:space="preserve">CC-BY-SA	</v>
      <v xml:space="preserve">http://en.wikipedia.org/wiki/Nampula_Province	</v>
      <v xml:space="preserve">http://creativecommons.org/licenses/by-sa/3.0/	</v>
    </spb>
    <spb s="1">
      <v>11</v>
      <v>11</v>
      <v>11</v>
      <v>11</v>
      <v>12</v>
      <v>11</v>
      <v>11</v>
      <v>11</v>
      <v>11</v>
    </spb>
    <spb s="3">
      <v>1</v>
      <v>Name</v>
      <v>LearnMoreOnLink</v>
    </spb>
    <spb s="0">
      <v xml:space="preserve">Wikipedia	</v>
      <v xml:space="preserve">CC BY-SA 3.0	</v>
      <v xml:space="preserve">https://en.wikipedia.org/wiki/Zambezia_Province	</v>
      <v xml:space="preserve">https://creativecommons.org/licenses/by-sa/3.0	</v>
    </spb>
    <spb s="0">
      <v xml:space="preserve">Wikipedia	</v>
      <v xml:space="preserve">CC-BY-SA	</v>
      <v xml:space="preserve">http://en.wikipedia.org/wiki/Zambezia_Province	</v>
      <v xml:space="preserve">http://creativecommons.org/licenses/by-sa/3.0/	</v>
    </spb>
    <spb s="1">
      <v>15</v>
      <v>15</v>
      <v>15</v>
      <v>15</v>
      <v>16</v>
      <v>15</v>
      <v>15</v>
      <v>15</v>
      <v>15</v>
    </spb>
    <spb s="3">
      <v>2</v>
      <v>Name</v>
      <v>LearnMoreOnLink</v>
    </spb>
    <spb s="0">
      <v xml:space="preserve">Wikipedia	</v>
      <v xml:space="preserve">CC BY-SA 3.0	</v>
      <v xml:space="preserve">https://en.wikipedia.org/wiki/Tete_Province	</v>
      <v xml:space="preserve">https://creativecommons.org/licenses/by-sa/3.0	</v>
    </spb>
    <spb s="0">
      <v xml:space="preserve">Wikipedia	</v>
      <v xml:space="preserve">CC-BY-SA	</v>
      <v xml:space="preserve">http://en.wikipedia.org/wiki/Tete_Province	</v>
      <v xml:space="preserve">http://creativecommons.org/licenses/by-sa/3.0/	</v>
    </spb>
    <spb s="1">
      <v>19</v>
      <v>19</v>
      <v>19</v>
      <v>19</v>
      <v>20</v>
      <v>19</v>
      <v>19</v>
      <v>19</v>
      <v>19</v>
    </spb>
    <spb s="0">
      <v xml:space="preserve">Wikipedia	</v>
      <v xml:space="preserve">CC BY-SA 3.0	</v>
      <v xml:space="preserve">https://en.wikipedia.org/wiki/Manica_Province	</v>
      <v xml:space="preserve">https://creativecommons.org/licenses/by-sa/3.0	</v>
    </spb>
    <spb s="0">
      <v xml:space="preserve">Wikipedia	</v>
      <v xml:space="preserve">CC-BY-SA	</v>
      <v xml:space="preserve">http://en.wikipedia.org/wiki/Manica_Province	</v>
      <v xml:space="preserve">http://creativecommons.org/licenses/by-sa/3.0/	</v>
    </spb>
    <spb s="1">
      <v>22</v>
      <v>22</v>
      <v>22</v>
      <v>22</v>
      <v>23</v>
      <v>22</v>
      <v>22</v>
      <v>22</v>
      <v>22</v>
    </spb>
    <spb s="0">
      <v xml:space="preserve">Wikipedia	</v>
      <v xml:space="preserve">CC BY-SA 3.0	</v>
      <v xml:space="preserve">https://en.wikipedia.org/wiki/Sofala_Province	</v>
      <v xml:space="preserve">https://creativecommons.org/licenses/by-sa/3.0	</v>
    </spb>
    <spb s="0">
      <v xml:space="preserve">Wikipedia	</v>
      <v xml:space="preserve">CC-BY-SA	</v>
      <v xml:space="preserve">http://en.wikipedia.org/wiki/Sofala_Province	</v>
      <v xml:space="preserve">http://creativecommons.org/licenses/by-sa/3.0/	</v>
    </spb>
    <spb s="1">
      <v>25</v>
      <v>25</v>
      <v>25</v>
      <v>25</v>
      <v>26</v>
      <v>25</v>
      <v>25</v>
      <v>25</v>
      <v>25</v>
    </spb>
    <spb s="0">
      <v xml:space="preserve">Wikipedia	</v>
      <v xml:space="preserve">CC BY-SA 3.0	</v>
      <v xml:space="preserve">https://en.wikipedia.org/wiki/Inhambane_Province	</v>
      <v xml:space="preserve">https://creativecommons.org/licenses/by-sa/3.0	</v>
    </spb>
    <spb s="0">
      <v xml:space="preserve">Wikipedia	</v>
      <v xml:space="preserve">CC-BY-SA	</v>
      <v xml:space="preserve">http://en.wikipedia.org/wiki/Inhambane_Province	</v>
      <v xml:space="preserve">http://creativecommons.org/licenses/by-sa/3.0/	</v>
    </spb>
    <spb s="10">
      <v>28</v>
      <v>28</v>
      <v>28</v>
      <v>28</v>
      <v>29</v>
      <v>28</v>
      <v>28</v>
      <v>28</v>
    </spb>
    <spb s="0">
      <v xml:space="preserve">Wikipedia	</v>
      <v xml:space="preserve">CC BY-SA 3.0	</v>
      <v xml:space="preserve">https://en.wikipedia.org/wiki/Gaza_Province	</v>
      <v xml:space="preserve">https://creativecommons.org/licenses/by-sa/3.0	</v>
    </spb>
    <spb s="0">
      <v xml:space="preserve">Wikipedia	</v>
      <v xml:space="preserve">CC-BY-SA	</v>
      <v xml:space="preserve">http://en.wikipedia.org/wiki/Gaza_Province	</v>
      <v xml:space="preserve">http://creativecommons.org/licenses/by-sa/3.0/	</v>
    </spb>
    <spb s="1">
      <v>31</v>
      <v>31</v>
      <v>31</v>
      <v>31</v>
      <v>32</v>
      <v>31</v>
      <v>31</v>
      <v>31</v>
      <v>31</v>
    </spb>
    <spb s="0">
      <v xml:space="preserve">Wikipedia	</v>
      <v xml:space="preserve">CC BY-SA 3.0	</v>
      <v xml:space="preserve">https://en.wikipedia.org/wiki/Maputo_Province	</v>
      <v xml:space="preserve">https://creativecommons.org/licenses/by-sa/3.0	</v>
    </spb>
    <spb s="0">
      <v xml:space="preserve">Wikipedia	</v>
      <v xml:space="preserve">CC-BY-SA	</v>
      <v xml:space="preserve">http://en.wikipedia.org/wiki/Maputo_Province	</v>
      <v xml:space="preserve">http://creativecommons.org/licenses/by-sa/3.0/	</v>
    </spb>
    <spb s="1">
      <v>34</v>
      <v>34</v>
      <v>34</v>
      <v>34</v>
      <v>35</v>
      <v>34</v>
      <v>34</v>
      <v>34</v>
      <v>34</v>
    </spb>
    <spb s="8">
      <v>km quadrado</v>
      <v>2020</v>
    </spb>
    <spb s="0">
      <v xml:space="preserve">Wikipedia	</v>
      <v xml:space="preserve">CC BY-SA 3.0	</v>
      <v xml:space="preserve">https://en.wikipedia.org/wiki/Cabo_Delgado_Province	</v>
      <v xml:space="preserve">https://creativecommons.org/licenses/by-sa/3.0	</v>
    </spb>
    <spb s="0">
      <v xml:space="preserve">Wikipedia	</v>
      <v xml:space="preserve">CC-BY-SA	</v>
      <v xml:space="preserve">http://en.wikipedia.org/wiki/Cabo_Delgado_Province	</v>
      <v xml:space="preserve">http://creativecommons.org/licenses/by-sa/3.0/	</v>
    </spb>
    <spb s="1">
      <v>38</v>
      <v>38</v>
      <v>38</v>
      <v>38</v>
      <v>39</v>
      <v>38</v>
      <v>38</v>
      <v>38</v>
      <v>38</v>
    </spb>
    <spb s="3">
      <v>3</v>
      <v>Name</v>
      <v>LearnMoreOnLink</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Nome" t="spb"/>
    <k n="`Área" t="spb"/>
    <k n="Descrição" t="spb"/>
    <k n="População" t="spb"/>
    <k n="Abreviação" t="spb"/>
    <k n="UniqueName" t="spb"/>
    <k n="País/região" t="spb"/>
    <k n="Maior cidade" t="spb"/>
    <k n="Capital/Maior Cidade" t="spb"/>
  </s>
  <s>
    <k n="Nome" t="s"/>
    <k n="Área" t="s"/>
    <k n="Imagem" t="s"/>
    <k n="Descrição" t="s"/>
    <k n="População" t="s"/>
    <k n="Abreviação" t="s"/>
    <k n="UniqueName" t="s"/>
    <k n="VDPID/VSID" t="s"/>
    <k n="País/região" t="s"/>
    <k n="Maior cidade" t="s"/>
    <k n="LearnMoreOnLink" t="s"/>
    <k n="Capital/Maior Cidade"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
    <k n="Nome" t="spb"/>
    <k n="`Área" t="spb"/>
    <k n="Descrição" t="spb"/>
    <k n="População" t="spb"/>
    <k n="Abreviação" t="spb"/>
    <k n="UniqueName" t="spb"/>
    <k n="País/região" t="spb"/>
    <k n="Capital/Maior Cidade"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3" formatCode="#,##0"/>
    </x:dxf>
  </dxfs>
  <richProperties>
    <rPr n="IsTitleField" t="b"/>
    <rPr n="IsHeroField" t="b"/>
    <rPr n="NumberFormat" t="s"/>
  </richProperties>
  <richStyles>
    <rSty>
      <rpv i="0">1</rpv>
    </rSty>
    <rSty>
      <rpv i="1">1</rpv>
    </rSty>
    <rSty dxfid="0">
      <rpv i="2">#,##0</rpv>
    </rSty>
  </richStyles>
</richStyleShee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A2DF-0585-49C6-B408-7537926BF5DD}">
  <dimension ref="A1:AH54"/>
  <sheetViews>
    <sheetView showGridLines="0" tabSelected="1" topLeftCell="K1" zoomScaleNormal="100" workbookViewId="0">
      <selection activeCell="K12" sqref="K12"/>
    </sheetView>
  </sheetViews>
  <sheetFormatPr defaultColWidth="8.6640625" defaultRowHeight="14.25" x14ac:dyDescent="0.45"/>
  <cols>
    <col min="1" max="1" width="11" style="1" customWidth="1"/>
    <col min="2" max="2" width="26" style="1" customWidth="1"/>
    <col min="3" max="3" width="16" style="1" customWidth="1"/>
    <col min="4" max="4" width="18.53125" style="1" customWidth="1"/>
    <col min="5" max="10" width="16" style="1" customWidth="1"/>
    <col min="11" max="12" width="17.59765625" style="1" customWidth="1"/>
    <col min="13" max="13" width="13" style="1" customWidth="1"/>
    <col min="14" max="14" width="15" style="1" customWidth="1"/>
    <col min="15" max="15" width="16" style="1" customWidth="1"/>
    <col min="16" max="16" width="18" style="1" customWidth="1"/>
    <col min="17" max="19" width="9" style="1" customWidth="1"/>
    <col min="20" max="20" width="13" style="1" customWidth="1"/>
    <col min="21" max="22" width="16" style="1" customWidth="1"/>
    <col min="23" max="24" width="8.6640625" style="1" customWidth="1"/>
    <col min="25" max="25" width="15.796875" style="11" customWidth="1"/>
    <col min="26" max="28" width="12.73046875" style="12" customWidth="1"/>
    <col min="29" max="29" width="14.796875" style="1" bestFit="1" customWidth="1"/>
    <col min="30" max="31" width="14.796875" style="1" customWidth="1"/>
    <col min="32" max="32" width="22" style="1" customWidth="1"/>
    <col min="33" max="33" width="15.19921875" style="1" bestFit="1" customWidth="1"/>
    <col min="34" max="34" width="14.1328125" style="1" customWidth="1"/>
    <col min="35" max="16384" width="8.6640625" style="1"/>
  </cols>
  <sheetData>
    <row r="1" spans="1:34" ht="21.75" customHeight="1" x14ac:dyDescent="0.45">
      <c r="A1" s="3" t="s">
        <v>334</v>
      </c>
      <c r="B1" s="3"/>
      <c r="C1" s="3"/>
      <c r="D1" s="3"/>
      <c r="E1" s="3"/>
      <c r="F1" s="3"/>
      <c r="G1" s="3"/>
      <c r="H1" s="3"/>
      <c r="I1" s="3"/>
      <c r="J1" s="3"/>
      <c r="K1" s="3"/>
      <c r="L1" s="3"/>
      <c r="M1" s="3"/>
      <c r="N1" s="3"/>
      <c r="O1" s="3"/>
      <c r="P1" s="3"/>
      <c r="Q1" s="3"/>
      <c r="R1" s="3"/>
      <c r="S1" s="3"/>
      <c r="T1" s="3"/>
      <c r="U1" s="3"/>
      <c r="V1" s="3"/>
      <c r="Y1" s="1"/>
      <c r="Z1" s="1"/>
      <c r="AA1" s="1"/>
      <c r="AB1" s="1"/>
    </row>
    <row r="2" spans="1:34" s="9" customFormat="1" ht="26.25" x14ac:dyDescent="0.45">
      <c r="A2" s="8" t="s">
        <v>0</v>
      </c>
      <c r="B2" s="8" t="s">
        <v>1</v>
      </c>
      <c r="C2" s="8" t="s">
        <v>2</v>
      </c>
      <c r="D2" s="4" t="s">
        <v>355</v>
      </c>
      <c r="E2" s="8" t="s">
        <v>344</v>
      </c>
      <c r="F2" s="4" t="s">
        <v>354</v>
      </c>
      <c r="G2" s="8" t="s">
        <v>345</v>
      </c>
      <c r="H2" s="4" t="s">
        <v>356</v>
      </c>
      <c r="I2" s="8" t="s">
        <v>352</v>
      </c>
      <c r="J2" s="4" t="s">
        <v>357</v>
      </c>
      <c r="K2" s="4" t="s">
        <v>358</v>
      </c>
      <c r="L2" s="4"/>
      <c r="M2" s="8" t="s">
        <v>3</v>
      </c>
      <c r="N2" s="8" t="s">
        <v>4</v>
      </c>
      <c r="O2" s="8" t="s">
        <v>5</v>
      </c>
      <c r="P2" s="8" t="s">
        <v>6</v>
      </c>
      <c r="Q2" s="8" t="s">
        <v>7</v>
      </c>
      <c r="R2" s="8" t="s">
        <v>8</v>
      </c>
      <c r="S2" s="8" t="s">
        <v>9</v>
      </c>
      <c r="T2" s="8" t="s">
        <v>10</v>
      </c>
      <c r="U2" s="8" t="s">
        <v>11</v>
      </c>
      <c r="V2" s="8" t="s">
        <v>12</v>
      </c>
      <c r="Y2" s="9" t="s">
        <v>2</v>
      </c>
      <c r="Z2" s="9" t="s">
        <v>359</v>
      </c>
      <c r="AA2" s="1"/>
      <c r="AB2" s="1"/>
      <c r="AC2" s="13" t="s">
        <v>353</v>
      </c>
      <c r="AD2" s="13" t="s">
        <v>360</v>
      </c>
      <c r="AE2" s="13"/>
      <c r="AF2" s="9" t="s">
        <v>346</v>
      </c>
      <c r="AG2" s="9" t="s">
        <v>347</v>
      </c>
      <c r="AH2" s="9" t="s">
        <v>335</v>
      </c>
    </row>
    <row r="3" spans="1:34" x14ac:dyDescent="0.45">
      <c r="A3" s="5" t="s">
        <v>13</v>
      </c>
      <c r="B3" s="5" t="s">
        <v>14</v>
      </c>
      <c r="C3" s="6" t="s">
        <v>343</v>
      </c>
      <c r="D3" s="6" t="str" cm="1">
        <f t="array" ref="D3:D28">_xlfn.UNIQUE(C3:C50)</f>
        <v xml:space="preserve">                               Niassa</v>
      </c>
      <c r="E3" s="6" t="str">
        <f>TRIM(C3)</f>
        <v>Niassa</v>
      </c>
      <c r="F3" s="6" t="str" cm="1">
        <f t="array" ref="F3:F17">_xlfn.UNIQUE(E3:E50)</f>
        <v>Niassa</v>
      </c>
      <c r="G3" s="6" t="str">
        <f>PROPER(E3)</f>
        <v>Niassa</v>
      </c>
      <c r="H3" s="6" t="str" cm="1">
        <f t="array" ref="H3:H17">_xlfn.UNIQUE(G3:G50)</f>
        <v>Niassa</v>
      </c>
      <c r="I3" s="6" t="e" vm="1">
        <v>#VALUE!</v>
      </c>
      <c r="J3" s="6" t="e" cm="1" vm="1">
        <f t="array" ref="J3:J14">_xlfn.UNIQUE(I3:I50)</f>
        <v>#VALUE!</v>
      </c>
      <c r="K3" s="6" t="str">
        <f>TRIM(PROPER(C3))</f>
        <v>Niassa</v>
      </c>
      <c r="L3" s="6" t="str" cm="1">
        <f t="array" ref="L3:L17">_xlfn.UNIQUE(K3:K50)</f>
        <v>Niassa</v>
      </c>
      <c r="M3" s="5" t="s">
        <v>16</v>
      </c>
      <c r="N3" s="5" t="s">
        <v>17</v>
      </c>
      <c r="O3" s="5" t="s">
        <v>18</v>
      </c>
      <c r="P3" s="5" t="s">
        <v>19</v>
      </c>
      <c r="Q3" s="5">
        <v>29</v>
      </c>
      <c r="R3" s="5" t="s">
        <v>20</v>
      </c>
      <c r="S3" s="5">
        <v>16</v>
      </c>
      <c r="T3" s="5">
        <v>36.5</v>
      </c>
      <c r="U3" s="5" t="s">
        <v>21</v>
      </c>
      <c r="V3" s="5" t="s">
        <v>22</v>
      </c>
      <c r="Y3" s="11" t="s">
        <v>74</v>
      </c>
      <c r="Z3" s="12" t="s">
        <v>362</v>
      </c>
      <c r="AA3" s="1"/>
      <c r="AB3" s="1"/>
      <c r="AC3" s="14" t="s">
        <v>337</v>
      </c>
      <c r="AD3" s="14" t="s">
        <v>361</v>
      </c>
      <c r="AE3" s="19"/>
      <c r="AF3" s="1" t="s">
        <v>337</v>
      </c>
      <c r="AG3" s="1" t="s">
        <v>15</v>
      </c>
      <c r="AH3" s="1" t="s">
        <v>26</v>
      </c>
    </row>
    <row r="4" spans="1:34" x14ac:dyDescent="0.45">
      <c r="A4" s="5" t="s">
        <v>23</v>
      </c>
      <c r="B4" s="5" t="s">
        <v>24</v>
      </c>
      <c r="C4" s="6" t="s">
        <v>25</v>
      </c>
      <c r="D4" s="6" t="str">
        <v>NAMPULA</v>
      </c>
      <c r="E4" s="6" t="str">
        <f t="shared" ref="E4:E50" si="0">TRIM(C4)</f>
        <v>NAMPULA</v>
      </c>
      <c r="F4" s="6" t="str">
        <v>NAMPULA</v>
      </c>
      <c r="G4" s="6" t="str">
        <f t="shared" ref="G4:G50" si="1">PROPER(E4)</f>
        <v>Nampula</v>
      </c>
      <c r="H4" s="6" t="str">
        <v>Nampula</v>
      </c>
      <c r="I4" s="6" t="e" vm="2">
        <v>#VALUE!</v>
      </c>
      <c r="J4" s="6" t="e" vm="2">
        <v>#VALUE!</v>
      </c>
      <c r="K4" s="6" t="str">
        <f t="shared" ref="K4:K50" si="2">TRIM(PROPER(C4))</f>
        <v>Nampula</v>
      </c>
      <c r="L4" s="6" t="str">
        <v>Nampula</v>
      </c>
      <c r="M4" s="5" t="s">
        <v>26</v>
      </c>
      <c r="N4" s="5" t="s">
        <v>27</v>
      </c>
      <c r="O4" s="5" t="s">
        <v>28</v>
      </c>
      <c r="P4" s="5" t="s">
        <v>29</v>
      </c>
      <c r="Q4" s="5">
        <v>30</v>
      </c>
      <c r="R4" s="5" t="s">
        <v>30</v>
      </c>
      <c r="S4" s="5">
        <v>47.5</v>
      </c>
      <c r="T4" s="5">
        <v>36.1</v>
      </c>
      <c r="U4" s="5" t="s">
        <v>31</v>
      </c>
      <c r="V4" s="5" t="s">
        <v>32</v>
      </c>
      <c r="Y4" s="11" t="s">
        <v>26</v>
      </c>
      <c r="AA4" s="1"/>
      <c r="AB4" s="1"/>
      <c r="AC4" s="14" t="s">
        <v>26</v>
      </c>
      <c r="AD4" s="14" t="s">
        <v>362</v>
      </c>
      <c r="AE4" s="19"/>
      <c r="AF4" s="1" t="s">
        <v>26</v>
      </c>
      <c r="AG4" s="1" t="s">
        <v>25</v>
      </c>
      <c r="AH4" s="1" t="s">
        <v>336</v>
      </c>
    </row>
    <row r="5" spans="1:34" x14ac:dyDescent="0.45">
      <c r="A5" s="5" t="s">
        <v>33</v>
      </c>
      <c r="B5" s="5" t="s">
        <v>34</v>
      </c>
      <c r="C5" s="6" t="s">
        <v>338</v>
      </c>
      <c r="D5" s="6" t="str">
        <v>Zambézia</v>
      </c>
      <c r="E5" s="6" t="str">
        <f t="shared" si="0"/>
        <v>Zambézia</v>
      </c>
      <c r="F5" s="6" t="str">
        <v>Zambézia</v>
      </c>
      <c r="G5" s="6" t="str">
        <f t="shared" si="1"/>
        <v>Zambézia</v>
      </c>
      <c r="H5" s="6" t="str">
        <v>Zambézia</v>
      </c>
      <c r="I5" s="6" t="e" vm="3">
        <v>#VALUE!</v>
      </c>
      <c r="J5" s="6" t="e" vm="3">
        <v>#VALUE!</v>
      </c>
      <c r="K5" s="6" t="str">
        <f t="shared" si="2"/>
        <v>Zambézia</v>
      </c>
      <c r="L5" s="6" t="str">
        <v>Zambézia</v>
      </c>
      <c r="M5" s="5" t="s">
        <v>35</v>
      </c>
      <c r="N5" s="5" t="s">
        <v>36</v>
      </c>
      <c r="O5" s="5" t="s">
        <v>37</v>
      </c>
      <c r="P5" s="5" t="s">
        <v>38</v>
      </c>
      <c r="Q5" s="5"/>
      <c r="R5" s="5" t="s">
        <v>39</v>
      </c>
      <c r="S5" s="5">
        <v>27.9</v>
      </c>
      <c r="T5" s="5">
        <v>37</v>
      </c>
      <c r="U5" s="5" t="s">
        <v>40</v>
      </c>
      <c r="V5" s="5" t="s">
        <v>41</v>
      </c>
      <c r="AA5" s="1"/>
      <c r="AB5" s="1"/>
      <c r="AC5" s="14" t="s">
        <v>338</v>
      </c>
      <c r="AD5" s="14" t="s">
        <v>363</v>
      </c>
      <c r="AE5" s="19"/>
      <c r="AF5" s="7" t="s">
        <v>338</v>
      </c>
      <c r="AG5" s="1" t="s">
        <v>338</v>
      </c>
      <c r="AH5" s="1" t="s">
        <v>337</v>
      </c>
    </row>
    <row r="6" spans="1:34" x14ac:dyDescent="0.45">
      <c r="A6" s="5" t="s">
        <v>42</v>
      </c>
      <c r="B6" s="5" t="s">
        <v>43</v>
      </c>
      <c r="C6" s="6" t="s">
        <v>44</v>
      </c>
      <c r="D6" s="6" t="str">
        <v xml:space="preserve">Tete </v>
      </c>
      <c r="E6" s="6" t="str">
        <f t="shared" si="0"/>
        <v>Tete</v>
      </c>
      <c r="F6" s="6" t="str">
        <v>Tete</v>
      </c>
      <c r="G6" s="6" t="str">
        <f t="shared" si="1"/>
        <v>Tete</v>
      </c>
      <c r="H6" s="6" t="str">
        <v>Tete</v>
      </c>
      <c r="I6" s="6" t="e" vm="4">
        <v>#VALUE!</v>
      </c>
      <c r="J6" s="6" t="e" vm="4">
        <v>#VALUE!</v>
      </c>
      <c r="K6" s="6" t="str">
        <f t="shared" si="2"/>
        <v>Tete</v>
      </c>
      <c r="L6" s="6" t="str">
        <v>Tete</v>
      </c>
      <c r="M6" s="5" t="s">
        <v>45</v>
      </c>
      <c r="N6" s="5" t="s">
        <v>46</v>
      </c>
      <c r="O6" s="5" t="s">
        <v>47</v>
      </c>
      <c r="P6" s="5" t="s">
        <v>48</v>
      </c>
      <c r="Q6" s="5">
        <v>34</v>
      </c>
      <c r="R6" s="5" t="s">
        <v>49</v>
      </c>
      <c r="S6" s="5">
        <v>73.400000000000006</v>
      </c>
      <c r="T6" s="5">
        <v>39.299999999999997</v>
      </c>
      <c r="U6" s="5" t="s">
        <v>50</v>
      </c>
      <c r="V6" s="5" t="s">
        <v>51</v>
      </c>
      <c r="Z6" s="12" t="s">
        <v>363</v>
      </c>
      <c r="AA6" s="1"/>
      <c r="AB6" s="1"/>
      <c r="AC6" s="14" t="s">
        <v>45</v>
      </c>
      <c r="AD6" s="14"/>
      <c r="AE6" s="19"/>
      <c r="AF6" s="1" t="s">
        <v>45</v>
      </c>
      <c r="AG6" s="1" t="s">
        <v>44</v>
      </c>
      <c r="AH6" s="1" t="s">
        <v>338</v>
      </c>
    </row>
    <row r="7" spans="1:34" x14ac:dyDescent="0.45">
      <c r="A7" s="5" t="s">
        <v>52</v>
      </c>
      <c r="B7" s="5" t="s">
        <v>53</v>
      </c>
      <c r="C7" s="6" t="s">
        <v>54</v>
      </c>
      <c r="D7" s="6" t="str">
        <v>MANICA</v>
      </c>
      <c r="E7" s="6" t="str">
        <f t="shared" si="0"/>
        <v>MANICA</v>
      </c>
      <c r="F7" s="6" t="str">
        <v>MANICA</v>
      </c>
      <c r="G7" s="6" t="str">
        <f t="shared" si="1"/>
        <v>Manica</v>
      </c>
      <c r="H7" s="6" t="str">
        <v>Manica</v>
      </c>
      <c r="I7" s="6" t="e" vm="5">
        <v>#VALUE!</v>
      </c>
      <c r="J7" s="6" t="e" vm="5">
        <v>#VALUE!</v>
      </c>
      <c r="K7" s="6" t="str">
        <f t="shared" si="2"/>
        <v>Manica</v>
      </c>
      <c r="L7" s="6" t="str">
        <v>Manica</v>
      </c>
      <c r="M7" s="5" t="s">
        <v>55</v>
      </c>
      <c r="N7" s="5" t="s">
        <v>56</v>
      </c>
      <c r="O7" s="5" t="s">
        <v>57</v>
      </c>
      <c r="P7" s="5" t="s">
        <v>58</v>
      </c>
      <c r="Q7" s="5">
        <v>-5</v>
      </c>
      <c r="R7" s="5" t="s">
        <v>59</v>
      </c>
      <c r="S7" s="5">
        <v>7.9</v>
      </c>
      <c r="T7" s="5">
        <v>37</v>
      </c>
      <c r="U7" s="5" t="s">
        <v>60</v>
      </c>
      <c r="V7" s="5" t="s">
        <v>61</v>
      </c>
      <c r="AA7" s="1"/>
      <c r="AB7" s="1"/>
      <c r="AC7" s="14" t="s">
        <v>141</v>
      </c>
      <c r="AD7" s="14"/>
      <c r="AE7" s="19"/>
      <c r="AF7" s="1" t="s">
        <v>141</v>
      </c>
      <c r="AG7" s="1" t="s">
        <v>54</v>
      </c>
      <c r="AH7" s="1" t="s">
        <v>45</v>
      </c>
    </row>
    <row r="8" spans="1:34" x14ac:dyDescent="0.45">
      <c r="A8" s="5" t="s">
        <v>62</v>
      </c>
      <c r="B8" s="5" t="s">
        <v>63</v>
      </c>
      <c r="C8" s="6" t="s">
        <v>64</v>
      </c>
      <c r="D8" s="6" t="str">
        <v>sofala</v>
      </c>
      <c r="E8" s="6" t="str">
        <f t="shared" si="0"/>
        <v>sofala</v>
      </c>
      <c r="F8" s="6" t="str">
        <v>sofala</v>
      </c>
      <c r="G8" s="6" t="str">
        <f t="shared" si="1"/>
        <v>Sofala</v>
      </c>
      <c r="H8" s="6" t="str">
        <v>Sofala</v>
      </c>
      <c r="I8" s="6" t="e" vm="6">
        <v>#VALUE!</v>
      </c>
      <c r="J8" s="6" t="e" vm="6">
        <v>#VALUE!</v>
      </c>
      <c r="K8" s="6" t="str">
        <f t="shared" si="2"/>
        <v>Sofala</v>
      </c>
      <c r="L8" s="6" t="str">
        <v>Sofala</v>
      </c>
      <c r="M8" s="5" t="s">
        <v>65</v>
      </c>
      <c r="N8" s="5" t="s">
        <v>66</v>
      </c>
      <c r="O8" s="5" t="s">
        <v>67</v>
      </c>
      <c r="P8" s="5" t="s">
        <v>68</v>
      </c>
      <c r="Q8" s="5">
        <v>47</v>
      </c>
      <c r="R8" s="5" t="s">
        <v>69</v>
      </c>
      <c r="S8" s="5">
        <v>18</v>
      </c>
      <c r="T8" s="5">
        <v>37.6</v>
      </c>
      <c r="U8" s="5" t="s">
        <v>31</v>
      </c>
      <c r="V8" s="5" t="s">
        <v>70</v>
      </c>
      <c r="AA8" s="1"/>
      <c r="AB8" s="1"/>
      <c r="AC8" s="14" t="s">
        <v>339</v>
      </c>
      <c r="AD8" s="14"/>
      <c r="AE8" s="19"/>
      <c r="AF8" s="1" t="s">
        <v>339</v>
      </c>
      <c r="AG8" s="1" t="s">
        <v>64</v>
      </c>
      <c r="AH8" s="1" t="s">
        <v>339</v>
      </c>
    </row>
    <row r="9" spans="1:34" x14ac:dyDescent="0.45">
      <c r="A9" s="5" t="s">
        <v>71</v>
      </c>
      <c r="B9" s="5" t="s">
        <v>72</v>
      </c>
      <c r="C9" s="6" t="s">
        <v>73</v>
      </c>
      <c r="D9" s="6" t="str">
        <v xml:space="preserve">Inhambane </v>
      </c>
      <c r="E9" s="6" t="str">
        <f t="shared" si="0"/>
        <v>Inhambane</v>
      </c>
      <c r="F9" s="6" t="str">
        <v>Inhambane</v>
      </c>
      <c r="G9" s="6" t="str">
        <f t="shared" si="1"/>
        <v>Inhambane</v>
      </c>
      <c r="H9" s="6" t="str">
        <v>Inhambane</v>
      </c>
      <c r="I9" s="6" t="e" vm="7">
        <v>#VALUE!</v>
      </c>
      <c r="J9" s="6" t="e" vm="7">
        <v>#VALUE!</v>
      </c>
      <c r="K9" s="6" t="str">
        <f t="shared" si="2"/>
        <v>Inhambane</v>
      </c>
      <c r="L9" s="6" t="str">
        <v>Inhambane</v>
      </c>
      <c r="M9" s="5" t="s">
        <v>74</v>
      </c>
      <c r="N9" s="5" t="s">
        <v>75</v>
      </c>
      <c r="O9" s="5" t="s">
        <v>76</v>
      </c>
      <c r="P9" s="5" t="s">
        <v>77</v>
      </c>
      <c r="Q9" s="5">
        <v>49</v>
      </c>
      <c r="R9" s="5" t="s">
        <v>78</v>
      </c>
      <c r="S9" s="5"/>
      <c r="T9" s="5">
        <v>0</v>
      </c>
      <c r="U9" s="5" t="s">
        <v>79</v>
      </c>
      <c r="V9" s="5" t="s">
        <v>80</v>
      </c>
      <c r="AA9" s="1"/>
      <c r="AB9" s="1"/>
      <c r="AC9" s="14" t="s">
        <v>74</v>
      </c>
      <c r="AD9" s="14"/>
      <c r="AE9" s="19"/>
      <c r="AF9" s="1" t="s">
        <v>74</v>
      </c>
      <c r="AG9" s="1" t="s">
        <v>73</v>
      </c>
      <c r="AH9" s="1" t="s">
        <v>141</v>
      </c>
    </row>
    <row r="10" spans="1:34" x14ac:dyDescent="0.45">
      <c r="A10" s="5" t="s">
        <v>81</v>
      </c>
      <c r="B10" s="5" t="s">
        <v>82</v>
      </c>
      <c r="C10" s="6" t="s">
        <v>83</v>
      </c>
      <c r="D10" s="6" t="str">
        <v>GAZA</v>
      </c>
      <c r="E10" s="6" t="str">
        <f t="shared" si="0"/>
        <v>GAZA</v>
      </c>
      <c r="F10" s="6" t="str">
        <v>GAZA</v>
      </c>
      <c r="G10" s="6" t="str">
        <f t="shared" si="1"/>
        <v>Gaza</v>
      </c>
      <c r="H10" s="6" t="str">
        <v>Gaza</v>
      </c>
      <c r="I10" s="6" t="e" vm="8">
        <v>#VALUE!</v>
      </c>
      <c r="J10" s="6" t="e" vm="8">
        <v>#VALUE!</v>
      </c>
      <c r="K10" s="6" t="str">
        <f t="shared" si="2"/>
        <v>Gaza</v>
      </c>
      <c r="L10" s="6" t="str">
        <v>Gaza</v>
      </c>
      <c r="M10" s="5" t="s">
        <v>84</v>
      </c>
      <c r="N10" s="10">
        <v>45709</v>
      </c>
      <c r="O10" s="5" t="s">
        <v>85</v>
      </c>
      <c r="P10" s="5" t="s">
        <v>86</v>
      </c>
      <c r="Q10" s="5">
        <v>52</v>
      </c>
      <c r="R10" s="5" t="s">
        <v>87</v>
      </c>
      <c r="S10" s="5">
        <v>27</v>
      </c>
      <c r="T10" s="5">
        <v>36.9</v>
      </c>
      <c r="U10" s="5" t="s">
        <v>88</v>
      </c>
      <c r="V10" s="5" t="s">
        <v>89</v>
      </c>
      <c r="Y10" s="11" t="s">
        <v>26</v>
      </c>
      <c r="AA10" s="1"/>
      <c r="AB10" s="1"/>
      <c r="AC10" s="14" t="s">
        <v>340</v>
      </c>
      <c r="AD10" s="14"/>
      <c r="AE10" s="19"/>
      <c r="AF10" s="1" t="s">
        <v>340</v>
      </c>
      <c r="AG10" s="1" t="s">
        <v>83</v>
      </c>
      <c r="AH10" s="1" t="s">
        <v>74</v>
      </c>
    </row>
    <row r="11" spans="1:34" x14ac:dyDescent="0.45">
      <c r="A11" s="5" t="s">
        <v>90</v>
      </c>
      <c r="B11" s="5" t="s">
        <v>91</v>
      </c>
      <c r="C11" s="6" t="s">
        <v>92</v>
      </c>
      <c r="D11" s="6" t="str">
        <v xml:space="preserve">Maputo Provincia </v>
      </c>
      <c r="E11" s="6" t="str">
        <f t="shared" si="0"/>
        <v>Maputo Provincia</v>
      </c>
      <c r="F11" s="6" t="str">
        <v>Maputo Provincia</v>
      </c>
      <c r="G11" s="6" t="str">
        <f t="shared" si="1"/>
        <v>Maputo Provincia</v>
      </c>
      <c r="H11" s="6" t="str">
        <v>Maputo Provincia</v>
      </c>
      <c r="I11" s="6" t="e" vm="9">
        <v>#VALUE!</v>
      </c>
      <c r="J11" s="6" t="e" vm="9">
        <v>#VALUE!</v>
      </c>
      <c r="K11" s="6" t="str">
        <f t="shared" si="2"/>
        <v>Maputo Provincia</v>
      </c>
      <c r="L11" s="6" t="str">
        <v>Maputo Provincia</v>
      </c>
      <c r="M11" s="5" t="s">
        <v>93</v>
      </c>
      <c r="N11" s="5" t="s">
        <v>94</v>
      </c>
      <c r="O11" s="5" t="s">
        <v>95</v>
      </c>
      <c r="P11" s="5" t="s">
        <v>96</v>
      </c>
      <c r="Q11" s="5" t="s">
        <v>97</v>
      </c>
      <c r="R11" s="5" t="s">
        <v>98</v>
      </c>
      <c r="S11" s="5">
        <v>16</v>
      </c>
      <c r="T11" s="5">
        <v>39.4</v>
      </c>
      <c r="U11" s="5" t="s">
        <v>99</v>
      </c>
      <c r="V11" s="5" t="s">
        <v>100</v>
      </c>
      <c r="AA11" s="1"/>
      <c r="AB11" s="1"/>
      <c r="AC11" s="14" t="s">
        <v>348</v>
      </c>
      <c r="AD11" s="14"/>
      <c r="AE11" s="19"/>
      <c r="AF11" s="1" t="s">
        <v>348</v>
      </c>
      <c r="AG11" s="1" t="s">
        <v>92</v>
      </c>
      <c r="AH11" s="1" t="s">
        <v>340</v>
      </c>
    </row>
    <row r="12" spans="1:34" x14ac:dyDescent="0.45">
      <c r="A12" s="5" t="s">
        <v>101</v>
      </c>
      <c r="B12" s="5" t="s">
        <v>102</v>
      </c>
      <c r="C12" s="6" t="s">
        <v>103</v>
      </c>
      <c r="D12" s="6" t="str">
        <v>MAPUTO CIDADE</v>
      </c>
      <c r="E12" s="6" t="str">
        <f t="shared" si="0"/>
        <v>MAPUTO CIDADE</v>
      </c>
      <c r="F12" s="6" t="str">
        <v>MAPUTO CIDADE</v>
      </c>
      <c r="G12" s="6" t="str">
        <f t="shared" si="1"/>
        <v>Maputo Cidade</v>
      </c>
      <c r="H12" s="6" t="str">
        <v>Maputo Cidade</v>
      </c>
      <c r="I12" s="6" t="s">
        <v>341</v>
      </c>
      <c r="J12" s="6" t="str">
        <v>Maputo Cidade</v>
      </c>
      <c r="K12" s="6" t="str">
        <f t="shared" si="2"/>
        <v>Maputo Cidade</v>
      </c>
      <c r="L12" s="6" t="str">
        <v>Maputo Cidade</v>
      </c>
      <c r="M12" s="5" t="s">
        <v>104</v>
      </c>
      <c r="N12" s="5" t="s">
        <v>105</v>
      </c>
      <c r="O12" s="5" t="s">
        <v>106</v>
      </c>
      <c r="P12" s="5" t="s">
        <v>107</v>
      </c>
      <c r="Q12" s="5">
        <v>18</v>
      </c>
      <c r="R12" s="5" t="s">
        <v>108</v>
      </c>
      <c r="S12" s="5">
        <v>47.8</v>
      </c>
      <c r="T12" s="5">
        <v>36.4</v>
      </c>
      <c r="U12" s="5" t="s">
        <v>31</v>
      </c>
      <c r="V12" s="5" t="s">
        <v>109</v>
      </c>
      <c r="Y12" s="11" t="s">
        <v>336</v>
      </c>
      <c r="AA12" s="1"/>
      <c r="AB12" s="1"/>
      <c r="AC12" s="14" t="s">
        <v>341</v>
      </c>
      <c r="AD12" s="14"/>
      <c r="AE12" s="19"/>
      <c r="AF12" s="1" t="s">
        <v>341</v>
      </c>
      <c r="AG12" s="1" t="s">
        <v>103</v>
      </c>
      <c r="AH12" s="1" t="s">
        <v>341</v>
      </c>
    </row>
    <row r="13" spans="1:34" x14ac:dyDescent="0.45">
      <c r="A13" s="5" t="s">
        <v>110</v>
      </c>
      <c r="B13" s="5" t="s">
        <v>14</v>
      </c>
      <c r="C13" s="6" t="s">
        <v>111</v>
      </c>
      <c r="D13" s="6" t="str">
        <v>niassa</v>
      </c>
      <c r="E13" s="6" t="str">
        <f t="shared" si="0"/>
        <v>niassa</v>
      </c>
      <c r="F13" s="6" t="str">
        <v/>
      </c>
      <c r="G13" s="6" t="str">
        <f t="shared" si="1"/>
        <v>Niassa</v>
      </c>
      <c r="H13" s="6" t="str">
        <v/>
      </c>
      <c r="I13" s="6" t="e" vm="1">
        <v>#VALUE!</v>
      </c>
      <c r="J13" s="6" t="str">
        <v/>
      </c>
      <c r="K13" s="6" t="str">
        <f t="shared" si="2"/>
        <v>Niassa</v>
      </c>
      <c r="L13" s="6" t="str">
        <v/>
      </c>
      <c r="M13" s="5" t="s">
        <v>16</v>
      </c>
      <c r="N13" s="5" t="s">
        <v>112</v>
      </c>
      <c r="O13" s="5" t="s">
        <v>113</v>
      </c>
      <c r="P13" s="5" t="s">
        <v>114</v>
      </c>
      <c r="Q13" s="5">
        <v>44</v>
      </c>
      <c r="R13" s="5" t="s">
        <v>30</v>
      </c>
      <c r="S13" s="5">
        <v>13.6</v>
      </c>
      <c r="T13" s="5"/>
      <c r="U13" s="5" t="s">
        <v>115</v>
      </c>
      <c r="V13" s="5" t="s">
        <v>116</v>
      </c>
      <c r="AA13" s="1"/>
      <c r="AB13" s="1"/>
      <c r="AC13" s="14" t="s">
        <v>336</v>
      </c>
      <c r="AD13" s="14"/>
      <c r="AE13" s="19"/>
      <c r="AF13" s="1" t="s">
        <v>338</v>
      </c>
      <c r="AG13" s="1" t="s">
        <v>111</v>
      </c>
      <c r="AH13" s="1" t="s">
        <v>342</v>
      </c>
    </row>
    <row r="14" spans="1:34" x14ac:dyDescent="0.45">
      <c r="A14" s="5" t="s">
        <v>117</v>
      </c>
      <c r="B14" s="5" t="s">
        <v>118</v>
      </c>
      <c r="C14" s="6" t="s">
        <v>26</v>
      </c>
      <c r="D14" s="6" t="str">
        <v>tete</v>
      </c>
      <c r="E14" s="6" t="str">
        <f t="shared" si="0"/>
        <v>Nampula</v>
      </c>
      <c r="F14" s="6" t="str">
        <v>CABO DELGADO</v>
      </c>
      <c r="G14" s="6" t="str">
        <f t="shared" si="1"/>
        <v>Nampula</v>
      </c>
      <c r="H14" s="6" t="str">
        <v>Cabo Delgado</v>
      </c>
      <c r="I14" s="6" t="e" vm="2">
        <v>#VALUE!</v>
      </c>
      <c r="J14" s="6" t="e" vm="10">
        <v>#VALUE!</v>
      </c>
      <c r="K14" s="6" t="str">
        <f t="shared" si="2"/>
        <v>Nampula</v>
      </c>
      <c r="L14" s="6" t="str">
        <v>Cabo Delgado</v>
      </c>
      <c r="M14" s="5" t="s">
        <v>119</v>
      </c>
      <c r="N14" s="5" t="s">
        <v>120</v>
      </c>
      <c r="O14" s="5" t="s">
        <v>121</v>
      </c>
      <c r="P14" s="5" t="s">
        <v>122</v>
      </c>
      <c r="Q14" s="5">
        <v>39</v>
      </c>
      <c r="R14" s="5" t="s">
        <v>39</v>
      </c>
      <c r="S14" s="5">
        <v>76.400000000000006</v>
      </c>
      <c r="T14" s="5">
        <v>38.299999999999997</v>
      </c>
      <c r="U14" s="5" t="s">
        <v>21</v>
      </c>
      <c r="V14" s="5" t="s">
        <v>123</v>
      </c>
      <c r="AA14" s="1"/>
      <c r="AB14" s="1"/>
      <c r="AF14" s="1" t="s">
        <v>336</v>
      </c>
      <c r="AG14" s="1" t="s">
        <v>126</v>
      </c>
    </row>
    <row r="15" spans="1:34" x14ac:dyDescent="0.45">
      <c r="A15" s="5" t="s">
        <v>124</v>
      </c>
      <c r="B15" s="5" t="s">
        <v>125</v>
      </c>
      <c r="C15" s="6" t="s">
        <v>126</v>
      </c>
      <c r="D15" s="6" t="str">
        <v>inhambane</v>
      </c>
      <c r="E15" s="6" t="str">
        <f t="shared" si="0"/>
        <v>ZAMBÉZIA</v>
      </c>
      <c r="F15" s="6" t="str">
        <v>Maputo prov.</v>
      </c>
      <c r="G15" s="6" t="str">
        <f t="shared" si="1"/>
        <v>Zambézia</v>
      </c>
      <c r="H15" s="6" t="str">
        <v>Maputo Prov.</v>
      </c>
      <c r="I15" s="6" t="e" vm="3">
        <v>#VALUE!</v>
      </c>
      <c r="J15" s="6"/>
      <c r="K15" s="6" t="str">
        <f t="shared" si="2"/>
        <v>Zambézia</v>
      </c>
      <c r="L15" s="6" t="str">
        <v>Maputo Prov.</v>
      </c>
      <c r="M15" s="5" t="s">
        <v>127</v>
      </c>
      <c r="N15" s="5" t="s">
        <v>128</v>
      </c>
      <c r="O15" s="5" t="s">
        <v>129</v>
      </c>
      <c r="P15" s="5" t="s">
        <v>130</v>
      </c>
      <c r="Q15" s="5">
        <v>150</v>
      </c>
      <c r="R15" s="5" t="s">
        <v>49</v>
      </c>
      <c r="S15" s="5">
        <v>5.7</v>
      </c>
      <c r="T15" s="5">
        <v>40.200000000000003</v>
      </c>
      <c r="U15" s="5" t="s">
        <v>31</v>
      </c>
      <c r="V15" s="5" t="s">
        <v>131</v>
      </c>
      <c r="AA15" s="1"/>
      <c r="AB15" s="1"/>
      <c r="AF15" s="7" t="s">
        <v>350</v>
      </c>
      <c r="AG15" s="1" t="s">
        <v>134</v>
      </c>
    </row>
    <row r="16" spans="1:34" x14ac:dyDescent="0.45">
      <c r="A16" s="5" t="s">
        <v>132</v>
      </c>
      <c r="B16" s="5" t="s">
        <v>133</v>
      </c>
      <c r="C16" s="6" t="s">
        <v>134</v>
      </c>
      <c r="D16" s="6">
        <v>0</v>
      </c>
      <c r="E16" s="6" t="str">
        <f t="shared" si="0"/>
        <v>tete</v>
      </c>
      <c r="F16" s="6" t="str">
        <v>zambezia</v>
      </c>
      <c r="G16" s="6" t="str">
        <f t="shared" si="1"/>
        <v>Tete</v>
      </c>
      <c r="H16" s="6" t="str">
        <v>Zambezia</v>
      </c>
      <c r="I16" s="6" t="e" vm="4">
        <v>#VALUE!</v>
      </c>
      <c r="J16" s="6"/>
      <c r="K16" s="6" t="str">
        <f t="shared" si="2"/>
        <v>Tete</v>
      </c>
      <c r="L16" s="6" t="str">
        <v>Zambezia</v>
      </c>
      <c r="M16" s="5" t="s">
        <v>45</v>
      </c>
      <c r="N16" s="5" t="s">
        <v>135</v>
      </c>
      <c r="O16" s="5" t="s">
        <v>136</v>
      </c>
      <c r="P16" s="5" t="s">
        <v>137</v>
      </c>
      <c r="Q16" s="5">
        <v>69</v>
      </c>
      <c r="R16" s="5" t="s">
        <v>59</v>
      </c>
      <c r="S16" s="5">
        <v>69.900000000000006</v>
      </c>
      <c r="T16" s="5">
        <v>36.6</v>
      </c>
      <c r="U16" s="5" t="s">
        <v>40</v>
      </c>
      <c r="V16" s="5" t="s">
        <v>138</v>
      </c>
      <c r="AA16" s="1"/>
      <c r="AB16" s="1"/>
      <c r="AF16" s="7" t="s">
        <v>351</v>
      </c>
      <c r="AG16" s="1" t="s">
        <v>154</v>
      </c>
    </row>
    <row r="17" spans="1:33" x14ac:dyDescent="0.45">
      <c r="A17" s="5" t="s">
        <v>139</v>
      </c>
      <c r="B17" s="5" t="s">
        <v>140</v>
      </c>
      <c r="C17" s="6" t="s">
        <v>141</v>
      </c>
      <c r="D17" s="6" t="str">
        <v>maputo provincia</v>
      </c>
      <c r="E17" s="6" t="str">
        <f t="shared" si="0"/>
        <v>Manica</v>
      </c>
      <c r="F17" s="6" t="str">
        <v>Maputo-Cidade</v>
      </c>
      <c r="G17" s="6" t="str">
        <f t="shared" si="1"/>
        <v>Manica</v>
      </c>
      <c r="H17" s="6" t="str">
        <v>Maputo-Cidade</v>
      </c>
      <c r="I17" s="6" t="e" vm="5">
        <v>#VALUE!</v>
      </c>
      <c r="J17" s="6"/>
      <c r="K17" s="6" t="str">
        <f t="shared" si="2"/>
        <v>Manica</v>
      </c>
      <c r="L17" s="6" t="str">
        <v>Maputo-Cidade</v>
      </c>
      <c r="M17" s="5" t="s">
        <v>55</v>
      </c>
      <c r="N17" s="5"/>
      <c r="O17" s="5" t="s">
        <v>142</v>
      </c>
      <c r="P17" s="5" t="s">
        <v>143</v>
      </c>
      <c r="Q17" s="5">
        <v>40</v>
      </c>
      <c r="R17" s="5" t="s">
        <v>69</v>
      </c>
      <c r="S17" s="5">
        <v>38.299999999999997</v>
      </c>
      <c r="T17" s="5" t="s">
        <v>144</v>
      </c>
      <c r="U17" s="5" t="s">
        <v>50</v>
      </c>
      <c r="V17" s="5" t="s">
        <v>145</v>
      </c>
      <c r="AA17" s="1"/>
      <c r="AB17" s="1"/>
      <c r="AF17" s="7" t="s">
        <v>295</v>
      </c>
      <c r="AG17" s="1" t="s">
        <v>168</v>
      </c>
    </row>
    <row r="18" spans="1:33" x14ac:dyDescent="0.45">
      <c r="A18" s="5" t="s">
        <v>146</v>
      </c>
      <c r="B18" s="5" t="s">
        <v>147</v>
      </c>
      <c r="C18" s="6" t="s">
        <v>148</v>
      </c>
      <c r="D18" s="6" t="str">
        <v xml:space="preserve">Maputo Cidade </v>
      </c>
      <c r="E18" s="6" t="str">
        <f t="shared" si="0"/>
        <v>SOFALA</v>
      </c>
      <c r="F18" s="6"/>
      <c r="G18" s="6" t="str">
        <f t="shared" si="1"/>
        <v>Sofala</v>
      </c>
      <c r="H18" s="6"/>
      <c r="I18" s="6" t="e" vm="6">
        <v>#VALUE!</v>
      </c>
      <c r="J18" s="6"/>
      <c r="K18" s="6" t="str">
        <f t="shared" si="2"/>
        <v>Sofala</v>
      </c>
      <c r="L18" s="6"/>
      <c r="M18" s="5" t="s">
        <v>65</v>
      </c>
      <c r="N18" s="5" t="s">
        <v>149</v>
      </c>
      <c r="O18" s="5" t="s">
        <v>150</v>
      </c>
      <c r="P18" s="5" t="s">
        <v>151</v>
      </c>
      <c r="Q18" s="5">
        <v>44</v>
      </c>
      <c r="R18" s="5" t="s">
        <v>78</v>
      </c>
      <c r="S18" s="5">
        <v>5.8</v>
      </c>
      <c r="T18" s="5">
        <v>38.5</v>
      </c>
      <c r="U18" s="5" t="s">
        <v>60</v>
      </c>
      <c r="V18" s="5" t="s">
        <v>152</v>
      </c>
      <c r="AA18" s="1"/>
      <c r="AB18" s="1"/>
      <c r="AG18" s="1" t="s">
        <v>176</v>
      </c>
    </row>
    <row r="19" spans="1:33" x14ac:dyDescent="0.45">
      <c r="A19" s="5" t="s">
        <v>153</v>
      </c>
      <c r="B19" s="5" t="s">
        <v>72</v>
      </c>
      <c r="C19" s="6" t="s">
        <v>154</v>
      </c>
      <c r="D19" s="6" t="str">
        <v>CABO DELGADO</v>
      </c>
      <c r="E19" s="6" t="str">
        <f t="shared" si="0"/>
        <v>inhambane</v>
      </c>
      <c r="F19" s="6"/>
      <c r="G19" s="6" t="str">
        <f t="shared" si="1"/>
        <v>Inhambane</v>
      </c>
      <c r="H19" s="6"/>
      <c r="I19" s="6" t="e" vm="7">
        <v>#VALUE!</v>
      </c>
      <c r="J19" s="6"/>
      <c r="K19" s="6" t="str">
        <f t="shared" si="2"/>
        <v>Inhambane</v>
      </c>
      <c r="L19" s="6"/>
      <c r="M19" s="5" t="s">
        <v>74</v>
      </c>
      <c r="N19" s="5" t="s">
        <v>155</v>
      </c>
      <c r="O19" s="5" t="s">
        <v>156</v>
      </c>
      <c r="P19" s="5" t="s">
        <v>157</v>
      </c>
      <c r="Q19" s="5">
        <v>43</v>
      </c>
      <c r="R19" s="5" t="s">
        <v>87</v>
      </c>
      <c r="S19" s="5">
        <v>10.1</v>
      </c>
      <c r="T19" s="5">
        <v>37.1</v>
      </c>
      <c r="U19" s="5" t="s">
        <v>31</v>
      </c>
      <c r="V19" s="5" t="s">
        <v>158</v>
      </c>
      <c r="AA19" s="1"/>
      <c r="AB19" s="1"/>
      <c r="AG19" s="1" t="s">
        <v>184</v>
      </c>
    </row>
    <row r="20" spans="1:33" x14ac:dyDescent="0.45">
      <c r="A20" s="5" t="s">
        <v>159</v>
      </c>
      <c r="B20" s="5" t="s">
        <v>160</v>
      </c>
      <c r="C20" s="6"/>
      <c r="D20" s="6" t="str">
        <v xml:space="preserve">nampula </v>
      </c>
      <c r="E20" s="6" t="str">
        <f t="shared" si="0"/>
        <v/>
      </c>
      <c r="F20" s="6"/>
      <c r="G20" s="6" t="str">
        <f t="shared" si="1"/>
        <v/>
      </c>
      <c r="H20" s="6"/>
      <c r="I20" s="6" t="s">
        <v>349</v>
      </c>
      <c r="J20" s="6"/>
      <c r="K20" s="6" t="str">
        <f t="shared" si="2"/>
        <v/>
      </c>
      <c r="L20" s="6"/>
      <c r="M20" s="5" t="s">
        <v>161</v>
      </c>
      <c r="N20" s="5" t="s">
        <v>162</v>
      </c>
      <c r="O20" s="5" t="s">
        <v>163</v>
      </c>
      <c r="P20" s="5" t="s">
        <v>164</v>
      </c>
      <c r="Q20" s="5">
        <v>25</v>
      </c>
      <c r="R20" s="5" t="s">
        <v>98</v>
      </c>
      <c r="S20" s="5">
        <v>12.1</v>
      </c>
      <c r="T20" s="5">
        <v>39</v>
      </c>
      <c r="U20" s="5" t="s">
        <v>79</v>
      </c>
      <c r="V20" s="5" t="s">
        <v>165</v>
      </c>
      <c r="AA20" s="1"/>
      <c r="AB20" s="1"/>
      <c r="AG20" s="1" t="s">
        <v>196</v>
      </c>
    </row>
    <row r="21" spans="1:33" x14ac:dyDescent="0.45">
      <c r="A21" s="5" t="s">
        <v>166</v>
      </c>
      <c r="B21" s="5" t="s">
        <v>167</v>
      </c>
      <c r="C21" s="6" t="s">
        <v>168</v>
      </c>
      <c r="D21" s="6" t="str">
        <v xml:space="preserve">manica </v>
      </c>
      <c r="E21" s="6" t="str">
        <f t="shared" si="0"/>
        <v>maputo provincia</v>
      </c>
      <c r="F21" s="6"/>
      <c r="G21" s="6" t="str">
        <f t="shared" si="1"/>
        <v>Maputo Provincia</v>
      </c>
      <c r="H21" s="6"/>
      <c r="I21" s="6" t="e" vm="9">
        <v>#VALUE!</v>
      </c>
      <c r="J21" s="6"/>
      <c r="K21" s="6" t="str">
        <f t="shared" si="2"/>
        <v>Maputo Provincia</v>
      </c>
      <c r="L21" s="6"/>
      <c r="M21" s="5" t="s">
        <v>169</v>
      </c>
      <c r="N21" s="5" t="s">
        <v>170</v>
      </c>
      <c r="O21" s="5" t="s">
        <v>171</v>
      </c>
      <c r="P21" s="5" t="s">
        <v>172</v>
      </c>
      <c r="Q21" s="5">
        <v>52</v>
      </c>
      <c r="R21" s="5" t="s">
        <v>108</v>
      </c>
      <c r="S21" s="5">
        <v>66.599999999999994</v>
      </c>
      <c r="T21" s="5">
        <v>39.6</v>
      </c>
      <c r="U21" s="5" t="s">
        <v>88</v>
      </c>
      <c r="V21" s="5" t="s">
        <v>173</v>
      </c>
      <c r="AA21" s="1"/>
      <c r="AB21" s="1"/>
      <c r="AG21" s="1" t="s">
        <v>207</v>
      </c>
    </row>
    <row r="22" spans="1:33" x14ac:dyDescent="0.45">
      <c r="A22" s="5" t="s">
        <v>174</v>
      </c>
      <c r="B22" s="5" t="s">
        <v>175</v>
      </c>
      <c r="C22" s="6" t="s">
        <v>176</v>
      </c>
      <c r="D22" s="6" t="str">
        <v xml:space="preserve">Sofala </v>
      </c>
      <c r="E22" s="6" t="str">
        <f t="shared" si="0"/>
        <v>Maputo Cidade</v>
      </c>
      <c r="F22" s="6"/>
      <c r="G22" s="6" t="str">
        <f t="shared" si="1"/>
        <v>Maputo Cidade</v>
      </c>
      <c r="H22" s="6"/>
      <c r="I22" s="6" t="e" vm="9">
        <v>#VALUE!</v>
      </c>
      <c r="J22" s="6"/>
      <c r="K22" s="6" t="str">
        <f t="shared" si="2"/>
        <v>Maputo Cidade</v>
      </c>
      <c r="L22" s="6"/>
      <c r="M22" s="5" t="s">
        <v>177</v>
      </c>
      <c r="N22" s="5" t="s">
        <v>178</v>
      </c>
      <c r="O22" s="5" t="s">
        <v>179</v>
      </c>
      <c r="P22" s="5" t="s">
        <v>180</v>
      </c>
      <c r="Q22" s="5">
        <v>24</v>
      </c>
      <c r="R22" s="5" t="s">
        <v>20</v>
      </c>
      <c r="S22" s="5">
        <v>0</v>
      </c>
      <c r="T22" s="5">
        <v>37.1</v>
      </c>
      <c r="U22" s="5" t="s">
        <v>99</v>
      </c>
      <c r="V22" s="5" t="s">
        <v>181</v>
      </c>
      <c r="AA22" s="1"/>
      <c r="AB22" s="1"/>
      <c r="AG22" s="1" t="s">
        <v>214</v>
      </c>
    </row>
    <row r="23" spans="1:33" x14ac:dyDescent="0.45">
      <c r="A23" s="5" t="s">
        <v>182</v>
      </c>
      <c r="B23" s="5" t="s">
        <v>183</v>
      </c>
      <c r="C23" s="6" t="s">
        <v>184</v>
      </c>
      <c r="D23" s="6" t="str">
        <v xml:space="preserve">gaza </v>
      </c>
      <c r="E23" s="6" t="str">
        <f t="shared" si="0"/>
        <v>CABO DELGADO</v>
      </c>
      <c r="F23" s="6"/>
      <c r="G23" s="6" t="str">
        <f t="shared" si="1"/>
        <v>Cabo Delgado</v>
      </c>
      <c r="H23" s="6"/>
      <c r="I23" s="6" t="e" vm="10">
        <v>#VALUE!</v>
      </c>
      <c r="J23" s="6"/>
      <c r="K23" s="6" t="str">
        <f t="shared" si="2"/>
        <v>Cabo Delgado</v>
      </c>
      <c r="L23" s="6"/>
      <c r="M23" s="5" t="s">
        <v>185</v>
      </c>
      <c r="N23" s="5" t="s">
        <v>186</v>
      </c>
      <c r="O23" s="5" t="s">
        <v>28</v>
      </c>
      <c r="P23" s="5" t="s">
        <v>29</v>
      </c>
      <c r="Q23" s="5">
        <v>22</v>
      </c>
      <c r="R23" s="5"/>
      <c r="S23" s="5">
        <v>39</v>
      </c>
      <c r="T23" s="5">
        <v>38.200000000000003</v>
      </c>
      <c r="U23" s="5" t="s">
        <v>31</v>
      </c>
      <c r="V23" s="5" t="s">
        <v>187</v>
      </c>
      <c r="AA23" s="1"/>
      <c r="AB23" s="1"/>
      <c r="AG23" s="1" t="s">
        <v>226</v>
      </c>
    </row>
    <row r="24" spans="1:33" x14ac:dyDescent="0.45">
      <c r="A24" s="5" t="s">
        <v>188</v>
      </c>
      <c r="B24" s="5" t="s">
        <v>189</v>
      </c>
      <c r="C24" s="6" t="s">
        <v>190</v>
      </c>
      <c r="D24" s="6" t="str">
        <v>Maputo prov.</v>
      </c>
      <c r="E24" s="6" t="str">
        <f t="shared" si="0"/>
        <v>NIASSA</v>
      </c>
      <c r="F24" s="6"/>
      <c r="G24" s="6" t="str">
        <f t="shared" si="1"/>
        <v>Niassa</v>
      </c>
      <c r="H24" s="6"/>
      <c r="I24" s="6" t="e" vm="1">
        <v>#VALUE!</v>
      </c>
      <c r="J24" s="6"/>
      <c r="K24" s="6" t="str">
        <f t="shared" si="2"/>
        <v>Niassa</v>
      </c>
      <c r="L24" s="6"/>
      <c r="M24" s="5" t="s">
        <v>16</v>
      </c>
      <c r="N24" s="5" t="s">
        <v>191</v>
      </c>
      <c r="O24" s="5" t="s">
        <v>192</v>
      </c>
      <c r="P24" s="5" t="s">
        <v>68</v>
      </c>
      <c r="Q24" s="5">
        <v>37</v>
      </c>
      <c r="R24" s="5" t="s">
        <v>39</v>
      </c>
      <c r="S24" s="5">
        <v>40.4</v>
      </c>
      <c r="T24" s="5">
        <v>40.299999999999997</v>
      </c>
      <c r="U24" s="5" t="s">
        <v>193</v>
      </c>
      <c r="V24" s="5" t="s">
        <v>194</v>
      </c>
      <c r="AA24" s="1"/>
      <c r="AB24" s="1"/>
      <c r="AG24" s="1" t="s">
        <v>231</v>
      </c>
    </row>
    <row r="25" spans="1:33" x14ac:dyDescent="0.45">
      <c r="A25" s="5" t="s">
        <v>195</v>
      </c>
      <c r="B25" s="5" t="s">
        <v>118</v>
      </c>
      <c r="C25" s="6" t="s">
        <v>196</v>
      </c>
      <c r="D25" s="6" t="str">
        <v xml:space="preserve">Cabo Delgado </v>
      </c>
      <c r="E25" s="6" t="str">
        <f t="shared" si="0"/>
        <v>nampula</v>
      </c>
      <c r="F25" s="6"/>
      <c r="G25" s="6" t="str">
        <f t="shared" si="1"/>
        <v>Nampula</v>
      </c>
      <c r="H25" s="6"/>
      <c r="I25" s="6" t="e" vm="2">
        <v>#VALUE!</v>
      </c>
      <c r="J25" s="6"/>
      <c r="K25" s="6" t="str">
        <f t="shared" si="2"/>
        <v>Nampula</v>
      </c>
      <c r="L25" s="6"/>
      <c r="M25" s="5" t="s">
        <v>119</v>
      </c>
      <c r="N25" s="5" t="s">
        <v>197</v>
      </c>
      <c r="O25" s="5" t="s">
        <v>47</v>
      </c>
      <c r="P25" s="5" t="s">
        <v>198</v>
      </c>
      <c r="Q25" s="5">
        <v>70</v>
      </c>
      <c r="R25" s="5" t="s">
        <v>49</v>
      </c>
      <c r="S25" s="5">
        <v>9.1999999999999993</v>
      </c>
      <c r="T25" s="5">
        <v>37.4</v>
      </c>
      <c r="U25" s="5" t="s">
        <v>115</v>
      </c>
      <c r="V25" s="5" t="s">
        <v>199</v>
      </c>
      <c r="AA25" s="1"/>
      <c r="AB25" s="1"/>
      <c r="AG25" s="1" t="s">
        <v>242</v>
      </c>
    </row>
    <row r="26" spans="1:33" x14ac:dyDescent="0.45">
      <c r="A26" s="5" t="s">
        <v>200</v>
      </c>
      <c r="B26" s="5" t="s">
        <v>133</v>
      </c>
      <c r="C26" s="6" t="s">
        <v>201</v>
      </c>
      <c r="D26" s="6" t="str">
        <v xml:space="preserve"> Niassa</v>
      </c>
      <c r="E26" s="6" t="str">
        <f t="shared" si="0"/>
        <v>TETE</v>
      </c>
      <c r="F26" s="6"/>
      <c r="G26" s="6" t="str">
        <f t="shared" si="1"/>
        <v>Tete</v>
      </c>
      <c r="H26" s="6"/>
      <c r="I26" s="6" t="e" vm="4">
        <v>#VALUE!</v>
      </c>
      <c r="J26" s="6"/>
      <c r="K26" s="6" t="str">
        <f t="shared" si="2"/>
        <v>Tete</v>
      </c>
      <c r="L26" s="6"/>
      <c r="M26" s="5" t="s">
        <v>45</v>
      </c>
      <c r="N26" s="5" t="s">
        <v>202</v>
      </c>
      <c r="O26" s="5" t="s">
        <v>203</v>
      </c>
      <c r="P26" s="5" t="s">
        <v>204</v>
      </c>
      <c r="Q26" s="5">
        <v>54</v>
      </c>
      <c r="R26" s="5" t="s">
        <v>69</v>
      </c>
      <c r="S26" s="5">
        <v>60.5</v>
      </c>
      <c r="T26" s="5">
        <v>38.5</v>
      </c>
      <c r="U26" s="5" t="s">
        <v>31</v>
      </c>
      <c r="V26" s="5" t="s">
        <v>205</v>
      </c>
      <c r="AA26" s="1"/>
      <c r="AB26" s="1"/>
      <c r="AG26" s="1" t="s">
        <v>257</v>
      </c>
    </row>
    <row r="27" spans="1:33" x14ac:dyDescent="0.45">
      <c r="A27" s="5" t="s">
        <v>206</v>
      </c>
      <c r="B27" s="5" t="s">
        <v>140</v>
      </c>
      <c r="C27" s="6" t="s">
        <v>207</v>
      </c>
      <c r="D27" s="6" t="str">
        <v>zambezia</v>
      </c>
      <c r="E27" s="6" t="str">
        <f t="shared" si="0"/>
        <v>manica</v>
      </c>
      <c r="F27" s="6"/>
      <c r="G27" s="6" t="str">
        <f t="shared" si="1"/>
        <v>Manica</v>
      </c>
      <c r="H27" s="6"/>
      <c r="I27" s="6" t="e" vm="5">
        <v>#VALUE!</v>
      </c>
      <c r="J27" s="6"/>
      <c r="K27" s="6" t="str">
        <f t="shared" si="2"/>
        <v>Manica</v>
      </c>
      <c r="L27" s="6"/>
      <c r="M27" s="5" t="s">
        <v>55</v>
      </c>
      <c r="N27" s="5" t="s">
        <v>208</v>
      </c>
      <c r="O27" s="5" t="s">
        <v>209</v>
      </c>
      <c r="P27" s="5" t="s">
        <v>210</v>
      </c>
      <c r="Q27" s="5">
        <v>17</v>
      </c>
      <c r="R27" s="5" t="s">
        <v>78</v>
      </c>
      <c r="S27" s="5">
        <v>61.8</v>
      </c>
      <c r="T27" s="5">
        <v>37.299999999999997</v>
      </c>
      <c r="U27" s="5" t="s">
        <v>40</v>
      </c>
      <c r="V27" s="5" t="s">
        <v>211</v>
      </c>
      <c r="AA27" s="1"/>
      <c r="AB27" s="1"/>
      <c r="AG27" s="1" t="s">
        <v>295</v>
      </c>
    </row>
    <row r="28" spans="1:33" x14ac:dyDescent="0.45">
      <c r="A28" s="5" t="s">
        <v>212</v>
      </c>
      <c r="B28" s="5" t="s">
        <v>213</v>
      </c>
      <c r="C28" s="6" t="s">
        <v>214</v>
      </c>
      <c r="D28" s="6" t="str">
        <v>Maputo-Cidade</v>
      </c>
      <c r="E28" s="6" t="str">
        <f t="shared" si="0"/>
        <v>Sofala</v>
      </c>
      <c r="F28" s="6"/>
      <c r="G28" s="6" t="str">
        <f t="shared" si="1"/>
        <v>Sofala</v>
      </c>
      <c r="H28" s="6"/>
      <c r="I28" s="6" t="e" vm="6">
        <v>#VALUE!</v>
      </c>
      <c r="J28" s="6"/>
      <c r="K28" s="6" t="str">
        <f t="shared" si="2"/>
        <v>Sofala</v>
      </c>
      <c r="L28" s="6"/>
      <c r="M28" s="5" t="s">
        <v>65</v>
      </c>
      <c r="N28" s="5" t="s">
        <v>215</v>
      </c>
      <c r="O28" s="5" t="s">
        <v>216</v>
      </c>
      <c r="P28" s="5" t="s">
        <v>143</v>
      </c>
      <c r="Q28" s="5">
        <v>65</v>
      </c>
      <c r="R28" s="5" t="s">
        <v>87</v>
      </c>
      <c r="S28" s="5">
        <v>26.8</v>
      </c>
      <c r="T28" s="5">
        <v>40.200000000000003</v>
      </c>
      <c r="U28" s="5"/>
      <c r="V28" s="5" t="s">
        <v>217</v>
      </c>
      <c r="AA28" s="1"/>
    </row>
    <row r="29" spans="1:33" x14ac:dyDescent="0.45">
      <c r="A29" s="5" t="s">
        <v>218</v>
      </c>
      <c r="B29" s="5" t="s">
        <v>219</v>
      </c>
      <c r="C29" s="6" t="s">
        <v>220</v>
      </c>
      <c r="D29" s="6"/>
      <c r="E29" s="6" t="str">
        <f t="shared" si="0"/>
        <v>INHAMBANE</v>
      </c>
      <c r="F29" s="6"/>
      <c r="G29" s="6" t="str">
        <f t="shared" si="1"/>
        <v>Inhambane</v>
      </c>
      <c r="H29" s="6"/>
      <c r="I29" s="6" t="e" vm="7">
        <v>#VALUE!</v>
      </c>
      <c r="J29" s="6"/>
      <c r="K29" s="6" t="str">
        <f t="shared" si="2"/>
        <v>Inhambane</v>
      </c>
      <c r="L29" s="6"/>
      <c r="M29" s="5" t="s">
        <v>74</v>
      </c>
      <c r="N29" s="5" t="s">
        <v>221</v>
      </c>
      <c r="O29" s="5" t="s">
        <v>222</v>
      </c>
      <c r="P29" s="5" t="s">
        <v>114</v>
      </c>
      <c r="Q29" s="5">
        <v>68</v>
      </c>
      <c r="R29" s="5" t="s">
        <v>98</v>
      </c>
      <c r="S29" s="5">
        <v>4.7</v>
      </c>
      <c r="T29" s="5">
        <v>39.700000000000003</v>
      </c>
      <c r="U29" s="5" t="s">
        <v>60</v>
      </c>
      <c r="V29" s="5" t="s">
        <v>223</v>
      </c>
      <c r="AA29" s="1"/>
    </row>
    <row r="30" spans="1:33" x14ac:dyDescent="0.45">
      <c r="A30" s="5" t="s">
        <v>224</v>
      </c>
      <c r="B30" s="5" t="s">
        <v>225</v>
      </c>
      <c r="C30" s="6" t="s">
        <v>226</v>
      </c>
      <c r="D30" s="6"/>
      <c r="E30" s="6" t="str">
        <f t="shared" si="0"/>
        <v>gaza</v>
      </c>
      <c r="F30" s="6"/>
      <c r="G30" s="6" t="str">
        <f t="shared" si="1"/>
        <v>Gaza</v>
      </c>
      <c r="H30" s="6"/>
      <c r="I30" s="6" t="e" vm="8">
        <v>#VALUE!</v>
      </c>
      <c r="J30" s="6"/>
      <c r="K30" s="6" t="str">
        <f t="shared" si="2"/>
        <v>Gaza</v>
      </c>
      <c r="L30" s="6"/>
      <c r="M30" s="5" t="s">
        <v>84</v>
      </c>
      <c r="N30" s="5" t="s">
        <v>227</v>
      </c>
      <c r="O30" s="5" t="s">
        <v>106</v>
      </c>
      <c r="P30" s="5" t="s">
        <v>228</v>
      </c>
      <c r="Q30" s="5">
        <v>35</v>
      </c>
      <c r="R30" s="5" t="s">
        <v>108</v>
      </c>
      <c r="S30" s="5">
        <v>999</v>
      </c>
      <c r="T30" s="5">
        <v>36.9</v>
      </c>
      <c r="U30" s="5" t="s">
        <v>31</v>
      </c>
      <c r="V30" s="5" t="s">
        <v>229</v>
      </c>
      <c r="AA30" s="1"/>
    </row>
    <row r="31" spans="1:33" x14ac:dyDescent="0.45">
      <c r="A31" s="5" t="s">
        <v>230</v>
      </c>
      <c r="B31" s="5" t="s">
        <v>91</v>
      </c>
      <c r="C31" s="6" t="s">
        <v>231</v>
      </c>
      <c r="D31" s="6"/>
      <c r="E31" s="6" t="str">
        <f t="shared" si="0"/>
        <v>Maputo prov.</v>
      </c>
      <c r="F31" s="6"/>
      <c r="G31" s="6" t="str">
        <f t="shared" si="1"/>
        <v>Maputo Prov.</v>
      </c>
      <c r="H31" s="6"/>
      <c r="I31" s="6" t="e" vm="9">
        <v>#VALUE!</v>
      </c>
      <c r="J31" s="6"/>
      <c r="K31" s="6" t="str">
        <f t="shared" si="2"/>
        <v>Maputo Prov.</v>
      </c>
      <c r="L31" s="6"/>
      <c r="M31" s="5" t="s">
        <v>93</v>
      </c>
      <c r="N31" s="5" t="s">
        <v>232</v>
      </c>
      <c r="O31" s="5" t="s">
        <v>18</v>
      </c>
      <c r="P31" s="5" t="s">
        <v>233</v>
      </c>
      <c r="Q31" s="5">
        <v>12</v>
      </c>
      <c r="R31" s="5" t="s">
        <v>20</v>
      </c>
      <c r="S31" s="5">
        <v>58.5</v>
      </c>
      <c r="T31" s="5">
        <v>39.700000000000003</v>
      </c>
      <c r="U31" s="5" t="s">
        <v>79</v>
      </c>
      <c r="V31" s="5"/>
      <c r="AA31" s="1"/>
    </row>
    <row r="32" spans="1:33" x14ac:dyDescent="0.45">
      <c r="A32" s="5" t="s">
        <v>234</v>
      </c>
      <c r="B32" s="5" t="s">
        <v>235</v>
      </c>
      <c r="C32" s="6" t="s">
        <v>236</v>
      </c>
      <c r="D32" s="6"/>
      <c r="E32" s="6" t="str">
        <f t="shared" si="0"/>
        <v>maputo cidade</v>
      </c>
      <c r="F32" s="6"/>
      <c r="G32" s="6" t="str">
        <f t="shared" si="1"/>
        <v>Maputo Cidade</v>
      </c>
      <c r="H32" s="6"/>
      <c r="I32" s="6" t="e" vm="9">
        <v>#VALUE!</v>
      </c>
      <c r="J32" s="6"/>
      <c r="K32" s="6" t="str">
        <f t="shared" si="2"/>
        <v>Maputo Cidade</v>
      </c>
      <c r="L32" s="6"/>
      <c r="M32" s="5" t="s">
        <v>237</v>
      </c>
      <c r="N32" s="5" t="s">
        <v>238</v>
      </c>
      <c r="O32" s="5" t="s">
        <v>113</v>
      </c>
      <c r="P32" s="5" t="s">
        <v>77</v>
      </c>
      <c r="Q32" s="5">
        <v>71</v>
      </c>
      <c r="R32" s="5" t="s">
        <v>30</v>
      </c>
      <c r="S32" s="5">
        <v>64.7</v>
      </c>
      <c r="T32" s="5">
        <v>38.5</v>
      </c>
      <c r="U32" s="5" t="s">
        <v>88</v>
      </c>
      <c r="V32" s="5" t="s">
        <v>239</v>
      </c>
      <c r="AA32" s="1"/>
    </row>
    <row r="33" spans="1:27" x14ac:dyDescent="0.45">
      <c r="A33" s="5" t="s">
        <v>240</v>
      </c>
      <c r="B33" s="5" t="s">
        <v>241</v>
      </c>
      <c r="C33" s="6" t="s">
        <v>242</v>
      </c>
      <c r="D33" s="6"/>
      <c r="E33" s="6" t="str">
        <f t="shared" si="0"/>
        <v>Cabo Delgado</v>
      </c>
      <c r="F33" s="6"/>
      <c r="G33" s="6" t="str">
        <f t="shared" si="1"/>
        <v>Cabo Delgado</v>
      </c>
      <c r="H33" s="6"/>
      <c r="I33" s="6" t="e" vm="10">
        <v>#VALUE!</v>
      </c>
      <c r="J33" s="6"/>
      <c r="K33" s="6" t="str">
        <f t="shared" si="2"/>
        <v>Cabo Delgado</v>
      </c>
      <c r="L33" s="6"/>
      <c r="M33" s="5"/>
      <c r="N33" s="5" t="s">
        <v>243</v>
      </c>
      <c r="O33" s="5" t="s">
        <v>37</v>
      </c>
      <c r="P33" s="5" t="s">
        <v>244</v>
      </c>
      <c r="Q33" s="5">
        <v>19</v>
      </c>
      <c r="R33" s="5" t="s">
        <v>39</v>
      </c>
      <c r="S33" s="5">
        <v>41</v>
      </c>
      <c r="T33" s="5">
        <v>36.200000000000003</v>
      </c>
      <c r="U33" s="5" t="s">
        <v>99</v>
      </c>
      <c r="V33" s="5" t="s">
        <v>245</v>
      </c>
      <c r="AA33" s="1"/>
    </row>
    <row r="34" spans="1:27" x14ac:dyDescent="0.45">
      <c r="A34" s="5" t="s">
        <v>246</v>
      </c>
      <c r="B34" s="5" t="s">
        <v>14</v>
      </c>
      <c r="C34" s="6" t="s">
        <v>15</v>
      </c>
      <c r="D34" s="6"/>
      <c r="E34" s="6" t="str">
        <f t="shared" si="0"/>
        <v>Niassa</v>
      </c>
      <c r="F34" s="6"/>
      <c r="G34" s="6" t="str">
        <f t="shared" si="1"/>
        <v>Niassa</v>
      </c>
      <c r="H34" s="6"/>
      <c r="I34" s="6" t="e" vm="1">
        <v>#VALUE!</v>
      </c>
      <c r="J34" s="6"/>
      <c r="K34" s="6" t="str">
        <f t="shared" si="2"/>
        <v>Niassa</v>
      </c>
      <c r="L34" s="6"/>
      <c r="M34" s="5" t="s">
        <v>16</v>
      </c>
      <c r="N34" s="5" t="s">
        <v>247</v>
      </c>
      <c r="O34" s="5" t="s">
        <v>129</v>
      </c>
      <c r="P34" s="5" t="s">
        <v>248</v>
      </c>
      <c r="Q34" s="5">
        <v>53</v>
      </c>
      <c r="R34" s="5" t="s">
        <v>49</v>
      </c>
      <c r="S34" s="5">
        <v>87.7</v>
      </c>
      <c r="T34" s="5">
        <v>39.4</v>
      </c>
      <c r="U34" s="5" t="s">
        <v>31</v>
      </c>
      <c r="V34" s="5" t="s">
        <v>249</v>
      </c>
    </row>
    <row r="35" spans="1:27" x14ac:dyDescent="0.45">
      <c r="A35" s="5" t="s">
        <v>250</v>
      </c>
      <c r="B35" s="5" t="s">
        <v>251</v>
      </c>
      <c r="C35" s="6" t="s">
        <v>25</v>
      </c>
      <c r="D35" s="6"/>
      <c r="E35" s="6" t="str">
        <f t="shared" si="0"/>
        <v>NAMPULA</v>
      </c>
      <c r="F35" s="6"/>
      <c r="G35" s="6" t="str">
        <f t="shared" si="1"/>
        <v>Nampula</v>
      </c>
      <c r="H35" s="6"/>
      <c r="I35" s="6" t="e" vm="2">
        <v>#VALUE!</v>
      </c>
      <c r="J35" s="6"/>
      <c r="K35" s="6" t="str">
        <f t="shared" si="2"/>
        <v>Nampula</v>
      </c>
      <c r="L35" s="6"/>
      <c r="M35" s="5" t="s">
        <v>26</v>
      </c>
      <c r="N35" s="5" t="s">
        <v>252</v>
      </c>
      <c r="O35" s="5" t="s">
        <v>57</v>
      </c>
      <c r="P35" s="5" t="s">
        <v>253</v>
      </c>
      <c r="Q35" s="5">
        <v>32</v>
      </c>
      <c r="R35" s="5" t="s">
        <v>59</v>
      </c>
      <c r="S35" s="5">
        <v>26.9</v>
      </c>
      <c r="T35" s="5">
        <v>39.5</v>
      </c>
      <c r="U35" s="5" t="s">
        <v>193</v>
      </c>
      <c r="V35" s="5" t="s">
        <v>254</v>
      </c>
    </row>
    <row r="36" spans="1:27" x14ac:dyDescent="0.45">
      <c r="A36" s="5" t="s">
        <v>255</v>
      </c>
      <c r="B36" s="5" t="s">
        <v>256</v>
      </c>
      <c r="C36" s="6" t="s">
        <v>257</v>
      </c>
      <c r="D36" s="6"/>
      <c r="E36" s="6" t="str">
        <f t="shared" si="0"/>
        <v>zambezia</v>
      </c>
      <c r="F36" s="6"/>
      <c r="G36" s="6" t="str">
        <f t="shared" si="1"/>
        <v>Zambezia</v>
      </c>
      <c r="H36" s="6"/>
      <c r="I36" s="6" t="e" vm="3">
        <v>#VALUE!</v>
      </c>
      <c r="J36" s="6"/>
      <c r="K36" s="6" t="str">
        <f t="shared" si="2"/>
        <v>Zambezia</v>
      </c>
      <c r="L36" s="6"/>
      <c r="M36" s="5" t="s">
        <v>35</v>
      </c>
      <c r="N36" s="5" t="s">
        <v>258</v>
      </c>
      <c r="O36" s="5" t="s">
        <v>67</v>
      </c>
      <c r="P36" s="5" t="s">
        <v>259</v>
      </c>
      <c r="Q36" s="5">
        <v>45</v>
      </c>
      <c r="R36" s="5" t="s">
        <v>69</v>
      </c>
      <c r="S36" s="5">
        <v>30.2</v>
      </c>
      <c r="T36" s="5">
        <v>89.5</v>
      </c>
      <c r="U36" s="5" t="s">
        <v>115</v>
      </c>
      <c r="V36" s="5" t="s">
        <v>260</v>
      </c>
    </row>
    <row r="37" spans="1:27" x14ac:dyDescent="0.45">
      <c r="A37" s="5" t="s">
        <v>261</v>
      </c>
      <c r="B37" s="5" t="s">
        <v>262</v>
      </c>
      <c r="C37" s="6" t="s">
        <v>44</v>
      </c>
      <c r="D37" s="6"/>
      <c r="E37" s="6" t="str">
        <f t="shared" si="0"/>
        <v>Tete</v>
      </c>
      <c r="F37" s="6"/>
      <c r="G37" s="6" t="str">
        <f t="shared" si="1"/>
        <v>Tete</v>
      </c>
      <c r="H37" s="6"/>
      <c r="I37" s="6" t="e" vm="4">
        <v>#VALUE!</v>
      </c>
      <c r="J37" s="6"/>
      <c r="K37" s="6" t="str">
        <f t="shared" si="2"/>
        <v>Tete</v>
      </c>
      <c r="L37" s="6"/>
      <c r="M37" s="5" t="s">
        <v>45</v>
      </c>
      <c r="N37" s="5" t="s">
        <v>263</v>
      </c>
      <c r="O37" s="5" t="s">
        <v>76</v>
      </c>
      <c r="P37" s="5" t="s">
        <v>264</v>
      </c>
      <c r="Q37" s="5">
        <v>9</v>
      </c>
      <c r="R37" s="5" t="s">
        <v>78</v>
      </c>
      <c r="S37" s="5">
        <v>87.2</v>
      </c>
      <c r="T37" s="5">
        <v>37.299999999999997</v>
      </c>
      <c r="U37" s="5" t="s">
        <v>21</v>
      </c>
      <c r="V37" s="5"/>
    </row>
    <row r="38" spans="1:27" x14ac:dyDescent="0.45">
      <c r="A38" s="5" t="s">
        <v>265</v>
      </c>
      <c r="B38" s="5" t="s">
        <v>266</v>
      </c>
      <c r="C38" s="6" t="s">
        <v>54</v>
      </c>
      <c r="D38" s="6"/>
      <c r="E38" s="6" t="str">
        <f t="shared" si="0"/>
        <v>MANICA</v>
      </c>
      <c r="F38" s="6"/>
      <c r="G38" s="6" t="str">
        <f t="shared" si="1"/>
        <v>Manica</v>
      </c>
      <c r="H38" s="6"/>
      <c r="I38" s="6" t="e" vm="5">
        <v>#VALUE!</v>
      </c>
      <c r="J38" s="6"/>
      <c r="K38" s="6" t="str">
        <f t="shared" si="2"/>
        <v>Manica</v>
      </c>
      <c r="L38" s="6"/>
      <c r="M38" s="5" t="s">
        <v>55</v>
      </c>
      <c r="N38" s="5" t="s">
        <v>267</v>
      </c>
      <c r="O38" s="5" t="s">
        <v>85</v>
      </c>
      <c r="P38" s="5" t="s">
        <v>268</v>
      </c>
      <c r="Q38" s="5">
        <v>23</v>
      </c>
      <c r="R38" s="5" t="s">
        <v>87</v>
      </c>
      <c r="S38" s="5">
        <v>53.9</v>
      </c>
      <c r="T38" s="5">
        <v>40.4</v>
      </c>
      <c r="U38" s="5" t="s">
        <v>31</v>
      </c>
      <c r="V38" s="5" t="s">
        <v>269</v>
      </c>
    </row>
    <row r="39" spans="1:27" x14ac:dyDescent="0.45">
      <c r="A39" s="5" t="s">
        <v>270</v>
      </c>
      <c r="B39" s="5" t="s">
        <v>271</v>
      </c>
      <c r="C39" s="6" t="s">
        <v>64</v>
      </c>
      <c r="D39" s="6"/>
      <c r="E39" s="6" t="str">
        <f t="shared" si="0"/>
        <v>sofala</v>
      </c>
      <c r="F39" s="6"/>
      <c r="G39" s="6" t="str">
        <f t="shared" si="1"/>
        <v>Sofala</v>
      </c>
      <c r="H39" s="6"/>
      <c r="I39" s="6" t="e" vm="6">
        <v>#VALUE!</v>
      </c>
      <c r="J39" s="6"/>
      <c r="K39" s="6" t="str">
        <f t="shared" si="2"/>
        <v>Sofala</v>
      </c>
      <c r="L39" s="6"/>
      <c r="M39" s="5" t="s">
        <v>272</v>
      </c>
      <c r="N39" s="5" t="s">
        <v>273</v>
      </c>
      <c r="O39" s="5" t="s">
        <v>95</v>
      </c>
      <c r="P39" s="5" t="s">
        <v>274</v>
      </c>
      <c r="Q39" s="5">
        <v>66</v>
      </c>
      <c r="R39" s="5" t="s">
        <v>98</v>
      </c>
      <c r="S39" s="5">
        <v>13.9</v>
      </c>
      <c r="T39" s="5">
        <v>40</v>
      </c>
      <c r="U39" s="5" t="s">
        <v>40</v>
      </c>
      <c r="V39" s="5" t="s">
        <v>275</v>
      </c>
    </row>
    <row r="40" spans="1:27" x14ac:dyDescent="0.45">
      <c r="A40" s="5" t="s">
        <v>276</v>
      </c>
      <c r="B40" s="5" t="s">
        <v>277</v>
      </c>
      <c r="C40" s="6" t="s">
        <v>73</v>
      </c>
      <c r="D40" s="6"/>
      <c r="E40" s="6" t="str">
        <f t="shared" si="0"/>
        <v>Inhambane</v>
      </c>
      <c r="F40" s="6"/>
      <c r="G40" s="6" t="str">
        <f t="shared" si="1"/>
        <v>Inhambane</v>
      </c>
      <c r="H40" s="6"/>
      <c r="I40" s="6" t="e" vm="7">
        <v>#VALUE!</v>
      </c>
      <c r="J40" s="6"/>
      <c r="K40" s="6" t="str">
        <f t="shared" si="2"/>
        <v>Inhambane</v>
      </c>
      <c r="L40" s="6"/>
      <c r="M40" s="5" t="s">
        <v>278</v>
      </c>
      <c r="N40" s="5" t="s">
        <v>279</v>
      </c>
      <c r="O40" s="5" t="s">
        <v>171</v>
      </c>
      <c r="P40" s="5" t="s">
        <v>280</v>
      </c>
      <c r="Q40" s="5">
        <v>26</v>
      </c>
      <c r="R40" s="5" t="s">
        <v>108</v>
      </c>
      <c r="S40" s="5">
        <v>35.299999999999997</v>
      </c>
      <c r="T40" s="5">
        <v>36.299999999999997</v>
      </c>
      <c r="U40" s="5" t="s">
        <v>50</v>
      </c>
      <c r="V40" s="5" t="s">
        <v>281</v>
      </c>
    </row>
    <row r="41" spans="1:27" x14ac:dyDescent="0.45">
      <c r="A41" s="5" t="s">
        <v>282</v>
      </c>
      <c r="B41" s="5" t="s">
        <v>283</v>
      </c>
      <c r="C41" s="6" t="s">
        <v>83</v>
      </c>
      <c r="D41" s="6"/>
      <c r="E41" s="6" t="str">
        <f t="shared" si="0"/>
        <v>GAZA</v>
      </c>
      <c r="F41" s="6"/>
      <c r="G41" s="6" t="str">
        <f t="shared" si="1"/>
        <v>Gaza</v>
      </c>
      <c r="H41" s="6"/>
      <c r="I41" s="6" t="e" vm="8">
        <v>#VALUE!</v>
      </c>
      <c r="J41" s="6"/>
      <c r="K41" s="6" t="str">
        <f t="shared" si="2"/>
        <v>Gaza</v>
      </c>
      <c r="L41" s="6"/>
      <c r="M41" s="5" t="s">
        <v>84</v>
      </c>
      <c r="N41" s="5" t="s">
        <v>284</v>
      </c>
      <c r="O41" s="5"/>
      <c r="P41" s="5" t="s">
        <v>285</v>
      </c>
      <c r="Q41" s="5">
        <v>53</v>
      </c>
      <c r="R41" s="5" t="s">
        <v>20</v>
      </c>
      <c r="S41" s="5">
        <v>32.1</v>
      </c>
      <c r="T41" s="5">
        <v>39.1</v>
      </c>
      <c r="U41" s="5" t="s">
        <v>60</v>
      </c>
      <c r="V41" s="5" t="s">
        <v>286</v>
      </c>
    </row>
    <row r="42" spans="1:27" x14ac:dyDescent="0.45">
      <c r="A42" s="5" t="s">
        <v>287</v>
      </c>
      <c r="B42" s="5" t="s">
        <v>288</v>
      </c>
      <c r="C42" s="6" t="s">
        <v>289</v>
      </c>
      <c r="D42" s="6"/>
      <c r="E42" s="6" t="str">
        <f t="shared" si="0"/>
        <v>MAPUTO PROVINCIA</v>
      </c>
      <c r="F42" s="6"/>
      <c r="G42" s="6" t="str">
        <f t="shared" si="1"/>
        <v>Maputo Provincia</v>
      </c>
      <c r="H42" s="6"/>
      <c r="I42" s="6" t="e" vm="9">
        <v>#VALUE!</v>
      </c>
      <c r="J42" s="6"/>
      <c r="K42" s="6" t="str">
        <f t="shared" si="2"/>
        <v>Maputo Provincia</v>
      </c>
      <c r="L42" s="6"/>
      <c r="M42" s="5" t="s">
        <v>169</v>
      </c>
      <c r="N42" s="5" t="s">
        <v>290</v>
      </c>
      <c r="O42" s="5" t="s">
        <v>28</v>
      </c>
      <c r="P42" s="5" t="s">
        <v>291</v>
      </c>
      <c r="Q42" s="5">
        <v>73</v>
      </c>
      <c r="R42" s="5" t="s">
        <v>30</v>
      </c>
      <c r="S42" s="5">
        <v>29.9</v>
      </c>
      <c r="T42" s="5">
        <v>38.5</v>
      </c>
      <c r="U42" s="5" t="s">
        <v>31</v>
      </c>
      <c r="V42" s="5" t="s">
        <v>292</v>
      </c>
    </row>
    <row r="43" spans="1:27" x14ac:dyDescent="0.45">
      <c r="A43" s="5" t="s">
        <v>293</v>
      </c>
      <c r="B43" s="5" t="s">
        <v>294</v>
      </c>
      <c r="C43" s="6" t="s">
        <v>295</v>
      </c>
      <c r="D43" s="6"/>
      <c r="E43" s="6" t="str">
        <f t="shared" si="0"/>
        <v>Maputo-Cidade</v>
      </c>
      <c r="F43" s="6"/>
      <c r="G43" s="6" t="str">
        <f t="shared" si="1"/>
        <v>Maputo-Cidade</v>
      </c>
      <c r="H43" s="6"/>
      <c r="I43" s="6" t="e" vm="9">
        <v>#VALUE!</v>
      </c>
      <c r="J43" s="6"/>
      <c r="K43" s="6" t="str">
        <f t="shared" si="2"/>
        <v>Maputo-Cidade</v>
      </c>
      <c r="L43" s="6"/>
      <c r="M43" s="5" t="s">
        <v>104</v>
      </c>
      <c r="N43" s="5" t="s">
        <v>135</v>
      </c>
      <c r="O43" s="5" t="s">
        <v>121</v>
      </c>
      <c r="P43" s="5" t="s">
        <v>296</v>
      </c>
      <c r="Q43" s="5">
        <v>57</v>
      </c>
      <c r="R43" s="5" t="s">
        <v>39</v>
      </c>
      <c r="S43" s="5">
        <v>62.1</v>
      </c>
      <c r="T43" s="5">
        <v>38.299999999999997</v>
      </c>
      <c r="U43" s="5" t="s">
        <v>79</v>
      </c>
      <c r="V43" s="5" t="s">
        <v>297</v>
      </c>
    </row>
    <row r="44" spans="1:27" x14ac:dyDescent="0.45">
      <c r="A44" s="5" t="s">
        <v>298</v>
      </c>
      <c r="B44" s="5" t="s">
        <v>299</v>
      </c>
      <c r="C44" s="6" t="s">
        <v>300</v>
      </c>
      <c r="D44" s="6"/>
      <c r="E44" s="6" t="str">
        <f t="shared" si="0"/>
        <v>cabo delgado</v>
      </c>
      <c r="F44" s="6"/>
      <c r="G44" s="6" t="str">
        <f t="shared" si="1"/>
        <v>Cabo Delgado</v>
      </c>
      <c r="H44" s="6"/>
      <c r="I44" s="6" t="e" vm="10">
        <v>#VALUE!</v>
      </c>
      <c r="J44" s="6"/>
      <c r="K44" s="6" t="str">
        <f t="shared" si="2"/>
        <v>Cabo Delgado</v>
      </c>
      <c r="L44" s="6"/>
      <c r="M44" s="5" t="s">
        <v>301</v>
      </c>
      <c r="N44" s="5" t="s">
        <v>302</v>
      </c>
      <c r="O44" s="5" t="s">
        <v>47</v>
      </c>
      <c r="P44" s="5" t="s">
        <v>303</v>
      </c>
      <c r="Q44" s="5">
        <v>29</v>
      </c>
      <c r="R44" s="5" t="s">
        <v>49</v>
      </c>
      <c r="S44" s="5">
        <v>73.400000000000006</v>
      </c>
      <c r="T44" s="5">
        <v>36.700000000000003</v>
      </c>
      <c r="U44" s="5" t="s">
        <v>88</v>
      </c>
      <c r="V44" s="5" t="s">
        <v>304</v>
      </c>
    </row>
    <row r="45" spans="1:27" x14ac:dyDescent="0.45">
      <c r="A45" s="5" t="s">
        <v>305</v>
      </c>
      <c r="B45" s="5" t="s">
        <v>189</v>
      </c>
      <c r="C45" s="6" t="s">
        <v>111</v>
      </c>
      <c r="D45" s="6"/>
      <c r="E45" s="6" t="str">
        <f t="shared" si="0"/>
        <v>niassa</v>
      </c>
      <c r="F45" s="6"/>
      <c r="G45" s="6" t="str">
        <f t="shared" si="1"/>
        <v>Niassa</v>
      </c>
      <c r="H45" s="6"/>
      <c r="I45" s="6" t="e" vm="1">
        <v>#VALUE!</v>
      </c>
      <c r="J45" s="6"/>
      <c r="K45" s="6" t="str">
        <f t="shared" si="2"/>
        <v>Niassa</v>
      </c>
      <c r="L45" s="6"/>
      <c r="M45" s="5" t="s">
        <v>16</v>
      </c>
      <c r="N45" s="5" t="s">
        <v>306</v>
      </c>
      <c r="O45" s="5" t="s">
        <v>136</v>
      </c>
      <c r="P45" s="5" t="s">
        <v>274</v>
      </c>
      <c r="Q45" s="5">
        <v>25</v>
      </c>
      <c r="R45" s="5" t="s">
        <v>59</v>
      </c>
      <c r="S45" s="5" t="s">
        <v>307</v>
      </c>
      <c r="T45" s="5">
        <v>37.700000000000003</v>
      </c>
      <c r="U45" s="5" t="s">
        <v>99</v>
      </c>
      <c r="V45" s="5" t="s">
        <v>308</v>
      </c>
    </row>
    <row r="46" spans="1:27" x14ac:dyDescent="0.45">
      <c r="A46" s="5" t="s">
        <v>309</v>
      </c>
      <c r="B46" s="5" t="s">
        <v>24</v>
      </c>
      <c r="C46" s="6" t="s">
        <v>26</v>
      </c>
      <c r="D46" s="6"/>
      <c r="E46" s="6" t="str">
        <f t="shared" si="0"/>
        <v>Nampula</v>
      </c>
      <c r="F46" s="6"/>
      <c r="G46" s="6" t="str">
        <f t="shared" si="1"/>
        <v>Nampula</v>
      </c>
      <c r="H46" s="6"/>
      <c r="I46" s="6" t="e" vm="2">
        <v>#VALUE!</v>
      </c>
      <c r="J46" s="6"/>
      <c r="K46" s="6" t="str">
        <f t="shared" si="2"/>
        <v>Nampula</v>
      </c>
      <c r="L46" s="6"/>
      <c r="M46" s="5" t="s">
        <v>26</v>
      </c>
      <c r="N46" s="5" t="s">
        <v>310</v>
      </c>
      <c r="O46" s="5" t="s">
        <v>142</v>
      </c>
      <c r="P46" s="5" t="s">
        <v>311</v>
      </c>
      <c r="Q46" s="5">
        <v>23</v>
      </c>
      <c r="R46" s="5" t="s">
        <v>69</v>
      </c>
      <c r="S46" s="5">
        <v>73.2</v>
      </c>
      <c r="T46" s="5">
        <v>39.1</v>
      </c>
      <c r="U46" s="5" t="s">
        <v>31</v>
      </c>
      <c r="V46" s="5" t="s">
        <v>312</v>
      </c>
    </row>
    <row r="47" spans="1:27" x14ac:dyDescent="0.45">
      <c r="A47" s="5" t="s">
        <v>313</v>
      </c>
      <c r="B47" s="5" t="s">
        <v>314</v>
      </c>
      <c r="C47" s="6" t="s">
        <v>338</v>
      </c>
      <c r="D47" s="6"/>
      <c r="E47" s="6" t="str">
        <f t="shared" si="0"/>
        <v>Zambézia</v>
      </c>
      <c r="F47" s="6"/>
      <c r="G47" s="6" t="str">
        <f t="shared" si="1"/>
        <v>Zambézia</v>
      </c>
      <c r="H47" s="6"/>
      <c r="I47" s="6" t="e" vm="3">
        <v>#VALUE!</v>
      </c>
      <c r="J47" s="6"/>
      <c r="K47" s="6" t="str">
        <f t="shared" si="2"/>
        <v>Zambézia</v>
      </c>
      <c r="L47" s="6"/>
      <c r="M47" s="5" t="s">
        <v>127</v>
      </c>
      <c r="N47" s="5" t="s">
        <v>315</v>
      </c>
      <c r="O47" s="5" t="s">
        <v>150</v>
      </c>
      <c r="P47" s="5" t="s">
        <v>316</v>
      </c>
      <c r="Q47" s="5">
        <v>68</v>
      </c>
      <c r="R47" s="5" t="s">
        <v>78</v>
      </c>
      <c r="S47" s="5">
        <v>89</v>
      </c>
      <c r="T47" s="5">
        <v>38.700000000000003</v>
      </c>
      <c r="U47" s="5" t="s">
        <v>193</v>
      </c>
      <c r="V47" s="5" t="s">
        <v>317</v>
      </c>
    </row>
    <row r="48" spans="1:27" x14ac:dyDescent="0.45">
      <c r="A48" s="5" t="s">
        <v>318</v>
      </c>
      <c r="B48" s="5" t="s">
        <v>319</v>
      </c>
      <c r="C48" s="6" t="s">
        <v>134</v>
      </c>
      <c r="D48" s="6"/>
      <c r="E48" s="6" t="str">
        <f t="shared" si="0"/>
        <v>tete</v>
      </c>
      <c r="F48" s="6"/>
      <c r="G48" s="6" t="str">
        <f t="shared" si="1"/>
        <v>Tete</v>
      </c>
      <c r="H48" s="6"/>
      <c r="I48" s="6" t="e" vm="4">
        <v>#VALUE!</v>
      </c>
      <c r="J48" s="6"/>
      <c r="K48" s="6" t="str">
        <f t="shared" si="2"/>
        <v>Tete</v>
      </c>
      <c r="L48" s="6"/>
      <c r="M48" s="5" t="s">
        <v>320</v>
      </c>
      <c r="N48" s="5" t="s">
        <v>321</v>
      </c>
      <c r="O48" s="5" t="s">
        <v>156</v>
      </c>
      <c r="P48" s="5" t="s">
        <v>322</v>
      </c>
      <c r="Q48" s="5">
        <v>34</v>
      </c>
      <c r="R48" s="5" t="s">
        <v>87</v>
      </c>
      <c r="S48" s="5">
        <v>68.7</v>
      </c>
      <c r="T48" s="5">
        <v>39.799999999999997</v>
      </c>
      <c r="U48" s="5" t="s">
        <v>115</v>
      </c>
      <c r="V48" s="5" t="s">
        <v>323</v>
      </c>
    </row>
    <row r="49" spans="1:22" x14ac:dyDescent="0.45">
      <c r="A49" s="5" t="s">
        <v>324</v>
      </c>
      <c r="B49" s="5" t="s">
        <v>325</v>
      </c>
      <c r="C49" s="6" t="s">
        <v>141</v>
      </c>
      <c r="D49" s="6"/>
      <c r="E49" s="6" t="str">
        <f t="shared" si="0"/>
        <v>Manica</v>
      </c>
      <c r="F49" s="6"/>
      <c r="G49" s="6" t="str">
        <f t="shared" si="1"/>
        <v>Manica</v>
      </c>
      <c r="H49" s="6"/>
      <c r="I49" s="6" t="e" vm="5">
        <v>#VALUE!</v>
      </c>
      <c r="J49" s="6"/>
      <c r="K49" s="6" t="str">
        <f t="shared" si="2"/>
        <v>Manica</v>
      </c>
      <c r="L49" s="6"/>
      <c r="M49" s="5" t="s">
        <v>326</v>
      </c>
      <c r="N49" s="5" t="s">
        <v>327</v>
      </c>
      <c r="O49" s="5" t="s">
        <v>163</v>
      </c>
      <c r="P49" s="5" t="s">
        <v>328</v>
      </c>
      <c r="Q49" s="5">
        <v>37</v>
      </c>
      <c r="R49" s="5" t="s">
        <v>98</v>
      </c>
      <c r="S49" s="5">
        <v>24.2</v>
      </c>
      <c r="T49" s="5">
        <v>37.5</v>
      </c>
      <c r="U49" s="5" t="s">
        <v>21</v>
      </c>
      <c r="V49" s="5" t="s">
        <v>329</v>
      </c>
    </row>
    <row r="50" spans="1:22" x14ac:dyDescent="0.45">
      <c r="A50" s="5" t="s">
        <v>330</v>
      </c>
      <c r="B50" s="5" t="s">
        <v>63</v>
      </c>
      <c r="C50" s="6" t="s">
        <v>148</v>
      </c>
      <c r="D50" s="6"/>
      <c r="E50" s="6" t="str">
        <f t="shared" si="0"/>
        <v>SOFALA</v>
      </c>
      <c r="F50" s="6"/>
      <c r="G50" s="6" t="str">
        <f t="shared" si="1"/>
        <v>Sofala</v>
      </c>
      <c r="H50" s="6"/>
      <c r="I50" s="6" t="e" vm="6">
        <v>#VALUE!</v>
      </c>
      <c r="J50" s="6"/>
      <c r="K50" s="6" t="str">
        <f t="shared" si="2"/>
        <v>Sofala</v>
      </c>
      <c r="L50" s="6"/>
      <c r="M50" s="5" t="s">
        <v>65</v>
      </c>
      <c r="N50" s="5" t="s">
        <v>331</v>
      </c>
      <c r="O50" s="5" t="s">
        <v>106</v>
      </c>
      <c r="P50" s="5" t="s">
        <v>332</v>
      </c>
      <c r="Q50" s="5">
        <v>9</v>
      </c>
      <c r="R50" s="5" t="s">
        <v>108</v>
      </c>
      <c r="S50" s="5">
        <v>39.700000000000003</v>
      </c>
      <c r="T50" s="5">
        <v>37.5</v>
      </c>
      <c r="U50" s="5" t="s">
        <v>31</v>
      </c>
      <c r="V50" s="5" t="s">
        <v>333</v>
      </c>
    </row>
    <row r="51" spans="1:22" x14ac:dyDescent="0.45">
      <c r="A51"/>
      <c r="B51"/>
      <c r="C51"/>
      <c r="D51"/>
      <c r="E51"/>
      <c r="F51"/>
      <c r="G51"/>
      <c r="H51"/>
      <c r="I51"/>
      <c r="J51"/>
      <c r="K51"/>
      <c r="L51"/>
      <c r="M51"/>
      <c r="N51"/>
      <c r="O51"/>
      <c r="P51"/>
      <c r="Q51"/>
      <c r="R51"/>
      <c r="S51"/>
      <c r="T51"/>
      <c r="U51"/>
      <c r="V51"/>
    </row>
    <row r="52" spans="1:22" x14ac:dyDescent="0.45">
      <c r="A52"/>
      <c r="B52"/>
      <c r="C52"/>
      <c r="D52"/>
      <c r="E52"/>
      <c r="F52"/>
      <c r="G52"/>
      <c r="H52"/>
      <c r="I52"/>
      <c r="J52"/>
      <c r="K52"/>
      <c r="L52"/>
      <c r="M52"/>
      <c r="N52"/>
      <c r="O52"/>
      <c r="P52"/>
      <c r="Q52"/>
      <c r="R52"/>
      <c r="S52"/>
      <c r="T52"/>
      <c r="U52"/>
      <c r="V52"/>
    </row>
    <row r="54" spans="1:22" ht="39.75" customHeight="1" x14ac:dyDescent="0.45">
      <c r="A54" s="2"/>
      <c r="B54" s="2"/>
      <c r="C54" s="2"/>
      <c r="D54" s="2"/>
      <c r="E54" s="2"/>
      <c r="F54" s="2"/>
      <c r="G54" s="2"/>
      <c r="H54" s="2"/>
      <c r="I54" s="2"/>
      <c r="J54" s="2"/>
      <c r="K54" s="2"/>
      <c r="L54" s="2"/>
      <c r="M54" s="2"/>
      <c r="N54" s="2"/>
      <c r="O54" s="2"/>
      <c r="P54" s="2"/>
      <c r="Q54" s="2"/>
      <c r="R54" s="2"/>
      <c r="S54" s="2"/>
      <c r="T54" s="2"/>
      <c r="U54" s="2"/>
      <c r="V54" s="2"/>
    </row>
  </sheetData>
  <mergeCells count="1">
    <mergeCell ref="A1:V1"/>
  </mergeCells>
  <conditionalFormatting sqref="A5:A50">
    <cfRule type="duplicateValues" dxfId="0" priority="1"/>
  </conditionalFormatting>
  <dataValidations count="2">
    <dataValidation type="list" allowBlank="1" showInputMessage="1" showErrorMessage="1" sqref="Y3:Y1048576" xr:uid="{0A9F9C4A-5462-4C02-88CE-67369C5C3CAA}">
      <formula1>$AC$3:$AC$13</formula1>
    </dataValidation>
    <dataValidation type="list" allowBlank="1" showInputMessage="1" showErrorMessage="1" sqref="AB28:AB1048576 Z3:Z1048576 AA34:AA1048576" xr:uid="{860FA653-5C83-4AFB-912A-0342657F9410}">
      <formula1>$AD$3:$AD$5</formula1>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F97E-536D-4F98-B9EA-75FE38EEE135}">
  <dimension ref="B2:H8"/>
  <sheetViews>
    <sheetView showGridLines="0" workbookViewId="0">
      <selection activeCell="I9" sqref="I9"/>
    </sheetView>
  </sheetViews>
  <sheetFormatPr defaultRowHeight="14.25" x14ac:dyDescent="0.45"/>
  <cols>
    <col min="2" max="2" width="15.6640625" bestFit="1" customWidth="1"/>
    <col min="3" max="3" width="16.265625" customWidth="1"/>
    <col min="5" max="5" width="12.86328125" bestFit="1" customWidth="1"/>
    <col min="8" max="8" width="11.73046875" customWidth="1"/>
  </cols>
  <sheetData>
    <row r="2" spans="2:8" x14ac:dyDescent="0.45">
      <c r="B2" s="15" t="s">
        <v>364</v>
      </c>
      <c r="C2" s="15" t="s">
        <v>365</v>
      </c>
      <c r="D2" s="15" t="s">
        <v>366</v>
      </c>
      <c r="E2" s="15" t="s">
        <v>367</v>
      </c>
      <c r="F2" s="15" t="s">
        <v>368</v>
      </c>
      <c r="G2" s="15" t="s">
        <v>369</v>
      </c>
      <c r="H2" s="15" t="s">
        <v>370</v>
      </c>
    </row>
    <row r="3" spans="2:8" x14ac:dyDescent="0.45">
      <c r="B3" s="15" t="s">
        <v>371</v>
      </c>
      <c r="C3" s="15">
        <v>23</v>
      </c>
      <c r="D3" s="15">
        <v>10.9</v>
      </c>
      <c r="E3" s="15">
        <v>2</v>
      </c>
      <c r="F3" s="17">
        <v>46214</v>
      </c>
      <c r="G3" s="18">
        <v>0.79861111111111116</v>
      </c>
      <c r="H3" s="15">
        <v>123456789</v>
      </c>
    </row>
    <row r="4" spans="2:8" x14ac:dyDescent="0.45">
      <c r="B4" s="15" t="s">
        <v>372</v>
      </c>
      <c r="C4" s="15">
        <v>34</v>
      </c>
      <c r="D4" s="15">
        <v>10.5</v>
      </c>
      <c r="E4" s="15">
        <v>3</v>
      </c>
      <c r="F4" s="17">
        <v>46215</v>
      </c>
      <c r="G4" s="18">
        <v>0.83333333333333337</v>
      </c>
      <c r="H4" s="15"/>
    </row>
    <row r="5" spans="2:8" x14ac:dyDescent="0.45">
      <c r="B5" s="15" t="s">
        <v>373</v>
      </c>
      <c r="C5" s="15" t="s">
        <v>374</v>
      </c>
      <c r="D5" s="15">
        <v>11</v>
      </c>
      <c r="E5" s="15">
        <v>4</v>
      </c>
      <c r="F5" s="17">
        <v>46218</v>
      </c>
      <c r="G5" s="15"/>
      <c r="H5" s="15"/>
    </row>
    <row r="6" spans="2:8" x14ac:dyDescent="0.45">
      <c r="B6" s="15" t="s">
        <v>373</v>
      </c>
      <c r="C6" s="15" t="s">
        <v>375</v>
      </c>
      <c r="D6" s="15">
        <v>11.1</v>
      </c>
      <c r="E6" s="15">
        <v>20</v>
      </c>
      <c r="F6" s="15"/>
      <c r="G6" s="15"/>
      <c r="H6" s="15"/>
    </row>
    <row r="7" spans="2:8" x14ac:dyDescent="0.45">
      <c r="B7" s="15" t="s">
        <v>371</v>
      </c>
      <c r="C7" s="15" t="s">
        <v>376</v>
      </c>
      <c r="D7" s="15"/>
      <c r="E7" s="15">
        <v>0</v>
      </c>
      <c r="F7" s="15"/>
      <c r="G7" s="15"/>
      <c r="H7" s="15"/>
    </row>
    <row r="8" spans="2:8" x14ac:dyDescent="0.45">
      <c r="E8" s="16"/>
    </row>
  </sheetData>
  <dataValidations count="6">
    <dataValidation type="list" allowBlank="1" showInputMessage="1" showErrorMessage="1" sqref="B3:B7" xr:uid="{C1A20A21-43D3-47A2-A2A1-021D810F4961}">
      <formula1>"Excel,Word,PowerPoint"</formula1>
    </dataValidation>
    <dataValidation type="decimal" allowBlank="1" showInputMessage="1" showErrorMessage="1" sqref="D3:D7" xr:uid="{1ED831C9-DCED-45FD-A61C-1A3117DEEACF}">
      <formula1>10.5</formula1>
      <formula2>11.3</formula2>
    </dataValidation>
    <dataValidation type="whole" allowBlank="1" showInputMessage="1" showErrorMessage="1" sqref="E3:E7" xr:uid="{55BFEF5A-CC83-47A4-960A-D6CD4D52926E}">
      <formula1>0</formula1>
      <formula2>20</formula2>
    </dataValidation>
    <dataValidation type="date" allowBlank="1" showInputMessage="1" showErrorMessage="1" sqref="F3:F7" xr:uid="{5656543E-42E5-4E78-84D7-25CB8BC92B73}">
      <formula1>46213</formula1>
      <formula2>46218</formula2>
    </dataValidation>
    <dataValidation type="time" allowBlank="1" showInputMessage="1" showErrorMessage="1" sqref="G3:G7" xr:uid="{FA9A0294-1424-4C26-95FB-28DE5255F1F7}">
      <formula1>0.791666666666667</formula1>
      <formula2>0.875</formula2>
    </dataValidation>
    <dataValidation type="textLength" operator="equal" allowBlank="1" showInputMessage="1" showErrorMessage="1" sqref="H3:H7" xr:uid="{19B0E71C-6E2B-4D14-986C-5E6F53C410F6}">
      <formula1>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Dados Brutos</vt:lpstr>
      <vt:lpstr>Data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Agostinho Zeinadine Carlos</dc:creator>
  <cp:lastModifiedBy>Agostinho Zeinadine Carlos</cp:lastModifiedBy>
  <dcterms:created xsi:type="dcterms:W3CDTF">2026-07-22T15:33:20Z</dcterms:created>
  <dcterms:modified xsi:type="dcterms:W3CDTF">2026-07-22T19:56:59Z</dcterms:modified>
</cp:coreProperties>
</file>